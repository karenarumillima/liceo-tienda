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00" tabRatio="600" firstSheet="0" activeTab="1" autoFilterDateGrouping="1"/>
  </bookViews>
  <sheets>
    <sheet name="1ro Sec. T.V." sheetId="1" state="visible" r:id="rId1"/>
    <sheet name="2do Sec. T.V." sheetId="2" state="visible" r:id="rId2"/>
    <sheet name="3ro Sec. T.V.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&quot;$&quot;#,##0.00;[Red]\-&quot;$&quot;#,##0.00"/>
  </numFmts>
  <fonts count="20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10"/>
    </font>
    <font>
      <name val="Arial"/>
      <family val="2"/>
      <color theme="0"/>
      <sz val="10"/>
    </font>
    <font>
      <name val="Arial Narrow"/>
      <family val="2"/>
      <b val="1"/>
      <color theme="0"/>
      <sz val="10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b val="1"/>
      <color theme="1"/>
      <sz val="10"/>
    </font>
    <font>
      <name val="Arial Narrow"/>
      <family val="2"/>
      <b val="1"/>
      <color theme="0"/>
      <sz val="10"/>
    </font>
    <font>
      <name val="Arial"/>
      <family val="2"/>
      <b val="1"/>
      <color rgb="FF000000"/>
      <sz val="10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2" fillId="0" borderId="0"/>
    <xf numFmtId="0" fontId="13" fillId="0" borderId="0"/>
    <xf numFmtId="164" fontId="12" fillId="0" borderId="0"/>
  </cellStyleXfs>
  <cellXfs count="86">
    <xf numFmtId="0" fontId="0" fillId="0" borderId="0" pivotButton="0" quotePrefix="0" xfId="0"/>
    <xf numFmtId="0" fontId="1" fillId="0" borderId="0" pivotButton="0" quotePrefix="0" xfId="1"/>
    <xf numFmtId="0" fontId="3" fillId="0" borderId="1" applyAlignment="1" pivotButton="0" quotePrefix="0" xfId="1">
      <alignment vertical="center" wrapText="1"/>
    </xf>
    <xf numFmtId="0" fontId="6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left" vertical="center" wrapText="1"/>
    </xf>
    <xf numFmtId="0" fontId="5" fillId="2" borderId="1" applyAlignment="1" pivotButton="0" quotePrefix="0" xfId="1">
      <alignment horizontal="center" vertical="center" wrapText="1" shrinkToFit="1"/>
    </xf>
    <xf numFmtId="0" fontId="7" fillId="2" borderId="1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/>
    </xf>
    <xf numFmtId="0" fontId="9" fillId="2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left" vertical="center" wrapText="1"/>
    </xf>
    <xf numFmtId="0" fontId="11" fillId="0" borderId="1" applyAlignment="1" pivotButton="0" quotePrefix="0" xfId="1">
      <alignment vertical="center" wrapText="1"/>
    </xf>
    <xf numFmtId="0" fontId="1" fillId="0" borderId="1" pivotButton="0" quotePrefix="0" xfId="1"/>
    <xf numFmtId="0" fontId="0" fillId="0" borderId="1" pivotButton="0" quotePrefix="0" xfId="0"/>
    <xf numFmtId="164" fontId="1" fillId="0" borderId="1" pivotButton="0" quotePrefix="0" xfId="2"/>
    <xf numFmtId="164" fontId="1" fillId="0" borderId="1" applyAlignment="1" pivotButton="0" quotePrefix="0" xfId="2">
      <alignment horizontal="center" vertical="center"/>
    </xf>
    <xf numFmtId="164" fontId="1" fillId="0" borderId="1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164" fontId="13" fillId="0" borderId="1" applyAlignment="1" pivotButton="0" quotePrefix="0" xfId="2">
      <alignment horizontal="center" vertical="center"/>
    </xf>
    <xf numFmtId="164" fontId="14" fillId="0" borderId="1" applyAlignment="1" pivotButton="0" quotePrefix="0" xfId="2">
      <alignment horizontal="center" vertical="center"/>
    </xf>
    <xf numFmtId="164" fontId="13" fillId="0" borderId="1" pivotButton="0" quotePrefix="0" xfId="2"/>
    <xf numFmtId="164" fontId="14" fillId="0" borderId="1" pivotButton="0" quotePrefix="0" xfId="2"/>
    <xf numFmtId="164" fontId="15" fillId="0" borderId="1" applyAlignment="1" pivotButton="0" quotePrefix="0" xfId="2">
      <alignment horizontal="center" vertical="center"/>
    </xf>
    <xf numFmtId="164" fontId="13" fillId="0" borderId="1" applyAlignment="1" pivotButton="0" quotePrefix="0" xfId="1">
      <alignment horizontal="center" vertical="center"/>
    </xf>
    <xf numFmtId="0" fontId="17" fillId="2" borderId="1" applyAlignment="1" pivotButton="0" quotePrefix="0" xfId="1">
      <alignment horizontal="center" vertical="center" wrapText="1" shrinkToFit="1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164" fontId="11" fillId="0" borderId="1" applyAlignment="1" pivotButton="0" quotePrefix="0" xfId="1">
      <alignment horizontal="center" vertical="center"/>
    </xf>
    <xf numFmtId="0" fontId="11" fillId="0" borderId="1" pivotButton="0" quotePrefix="0" xfId="1"/>
    <xf numFmtId="0" fontId="11" fillId="0" borderId="0" pivotButton="0" quotePrefix="0" xfId="1"/>
    <xf numFmtId="0" fontId="11" fillId="0" borderId="0" applyAlignment="1" pivotButton="0" quotePrefix="0" xfId="1">
      <alignment horizontal="center" vertical="center"/>
    </xf>
    <xf numFmtId="164" fontId="13" fillId="0" borderId="1" applyAlignment="1" pivotButton="0" quotePrefix="0" xfId="2">
      <alignment horizontal="center"/>
    </xf>
    <xf numFmtId="164" fontId="1" fillId="0" borderId="1" applyAlignment="1" pivotButton="0" quotePrefix="0" xfId="1">
      <alignment horizontal="center"/>
    </xf>
    <xf numFmtId="164" fontId="14" fillId="0" borderId="1" applyAlignment="1" pivotButton="0" quotePrefix="0" xfId="2">
      <alignment horizontal="center"/>
    </xf>
    <xf numFmtId="164" fontId="14" fillId="0" borderId="1" applyAlignment="1" pivotButton="0" quotePrefix="0" xfId="2">
      <alignment horizontal="center" wrapText="1"/>
    </xf>
    <xf numFmtId="0" fontId="6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2">
      <alignment horizontal="center" vertical="center"/>
    </xf>
    <xf numFmtId="0" fontId="19" fillId="0" borderId="11" applyAlignment="1" pivotButton="0" quotePrefix="0" xfId="0">
      <alignment wrapText="1"/>
    </xf>
    <xf numFmtId="0" fontId="11" fillId="0" borderId="4" pivotButton="0" quotePrefix="0" xfId="1"/>
    <xf numFmtId="0" fontId="11" fillId="0" borderId="1" applyAlignment="1" pivotButton="0" quotePrefix="0" xfId="1">
      <alignment horizontal="left"/>
    </xf>
    <xf numFmtId="0" fontId="1" fillId="0" borderId="3" applyAlignment="1" pivotButton="0" quotePrefix="0" xfId="1">
      <alignment horizontal="center"/>
    </xf>
    <xf numFmtId="0" fontId="1" fillId="0" borderId="4" applyAlignment="1" pivotButton="0" quotePrefix="0" xfId="1">
      <alignment horizontal="center"/>
    </xf>
    <xf numFmtId="0" fontId="11" fillId="0" borderId="5" applyAlignment="1" pivotButton="0" quotePrefix="0" xfId="1">
      <alignment horizontal="left" vertical="center"/>
    </xf>
    <xf numFmtId="0" fontId="11" fillId="0" borderId="6" applyAlignment="1" pivotButton="0" quotePrefix="0" xfId="1">
      <alignment horizontal="left" vertical="center"/>
    </xf>
    <xf numFmtId="0" fontId="11" fillId="0" borderId="7" applyAlignment="1" pivotButton="0" quotePrefix="0" xfId="1">
      <alignment horizontal="left" vertical="center"/>
    </xf>
    <xf numFmtId="0" fontId="11" fillId="0" borderId="8" applyAlignment="1" pivotButton="0" quotePrefix="0" xfId="1">
      <alignment horizontal="left" vertical="center"/>
    </xf>
    <xf numFmtId="164" fontId="18" fillId="0" borderId="1" applyAlignment="1" pivotButton="0" quotePrefix="0" xfId="1">
      <alignment horizontal="center"/>
    </xf>
    <xf numFmtId="0" fontId="18" fillId="0" borderId="1" applyAlignment="1" pivotButton="0" quotePrefix="0" xfId="1">
      <alignment horizontal="center"/>
    </xf>
    <xf numFmtId="0" fontId="18" fillId="0" borderId="1" applyAlignment="1" pivotButton="0" quotePrefix="0" xfId="1">
      <alignment horizontal="right"/>
    </xf>
    <xf numFmtId="0" fontId="11" fillId="0" borderId="1" applyAlignment="1" pivotButton="0" quotePrefix="0" xfId="1">
      <alignment horizontal="right"/>
    </xf>
    <xf numFmtId="0" fontId="2" fillId="0" borderId="2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/>
    </xf>
    <xf numFmtId="0" fontId="1" fillId="0" borderId="10" applyAlignment="1" pivotButton="0" quotePrefix="0" xfId="1">
      <alignment horizontal="center"/>
    </xf>
    <xf numFmtId="164" fontId="18" fillId="0" borderId="1" applyAlignment="1" pivotButton="0" quotePrefix="0" xfId="1">
      <alignment horizontal="center" vertical="center"/>
    </xf>
    <xf numFmtId="165" fontId="18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left"/>
    </xf>
    <xf numFmtId="164" fontId="18" fillId="0" borderId="1" applyAlignment="1" pivotButton="0" quotePrefix="0" xfId="1">
      <alignment horizontal="right"/>
    </xf>
    <xf numFmtId="165" fontId="18" fillId="0" borderId="1" applyAlignment="1" pivotButton="0" quotePrefix="0" xfId="1">
      <alignment horizontal="right"/>
    </xf>
    <xf numFmtId="0" fontId="16" fillId="0" borderId="2" applyAlignment="1" pivotButton="0" quotePrefix="0" xfId="1">
      <alignment horizontal="center" vertical="center"/>
    </xf>
    <xf numFmtId="0" fontId="0" fillId="0" borderId="2" pivotButton="0" quotePrefix="0" xfId="0"/>
    <xf numFmtId="164" fontId="1" fillId="0" borderId="1" applyAlignment="1" pivotButton="0" quotePrefix="0" xfId="2">
      <alignment horizontal="center" vertical="center"/>
    </xf>
    <xf numFmtId="164" fontId="1" fillId="0" borderId="1" applyAlignment="1" pivotButton="0" quotePrefix="0" xfId="1">
      <alignment horizontal="center" vertical="center"/>
    </xf>
    <xf numFmtId="164" fontId="13" fillId="0" borderId="1" applyAlignment="1" pivotButton="0" quotePrefix="0" xfId="2">
      <alignment horizontal="center"/>
    </xf>
    <xf numFmtId="164" fontId="1" fillId="0" borderId="1" applyAlignment="1" pivotButton="0" quotePrefix="0" xfId="1">
      <alignment horizontal="center"/>
    </xf>
    <xf numFmtId="164" fontId="14" fillId="0" borderId="1" applyAlignment="1" pivotButton="0" quotePrefix="0" xfId="2">
      <alignment horizontal="center"/>
    </xf>
    <xf numFmtId="164" fontId="14" fillId="0" borderId="1" applyAlignment="1" pivotButton="0" quotePrefix="0" xfId="2">
      <alignment horizontal="center" wrapText="1"/>
    </xf>
    <xf numFmtId="164" fontId="11" fillId="0" borderId="1" applyAlignment="1" pivotButton="0" quotePrefix="0" xfId="2">
      <alignment horizontal="center" vertical="center"/>
    </xf>
    <xf numFmtId="164" fontId="11" fillId="0" borderId="1" applyAlignment="1" pivotButton="0" quotePrefix="0" xfId="1">
      <alignment horizontal="center" vertical="center"/>
    </xf>
    <xf numFmtId="0" fontId="0" fillId="0" borderId="4" pivotButton="0" quotePrefix="0" xfId="0"/>
    <xf numFmtId="164" fontId="18" fillId="0" borderId="1" applyAlignment="1" pivotButton="0" quotePrefix="0" xfId="1">
      <alignment horizontal="right"/>
    </xf>
    <xf numFmtId="0" fontId="1" fillId="0" borderId="1" applyAlignment="1" pivotButton="0" quotePrefix="0" xfId="1">
      <alignment horizontal="center"/>
    </xf>
    <xf numFmtId="0" fontId="0" fillId="0" borderId="10" pivotButton="0" quotePrefix="0" xfId="0"/>
    <xf numFmtId="164" fontId="18" fillId="0" borderId="1" applyAlignment="1" pivotButton="0" quotePrefix="0" xfId="1">
      <alignment horizontal="center"/>
    </xf>
    <xf numFmtId="0" fontId="11" fillId="0" borderId="1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15" fillId="0" borderId="1" applyAlignment="1" pivotButton="0" quotePrefix="0" xfId="2">
      <alignment horizontal="center" vertical="center"/>
    </xf>
    <xf numFmtId="164" fontId="13" fillId="0" borderId="1" applyAlignment="1" pivotButton="0" quotePrefix="0" xfId="1">
      <alignment horizontal="center" vertical="center"/>
    </xf>
    <xf numFmtId="164" fontId="13" fillId="0" borderId="1" applyAlignment="1" pivotButton="0" quotePrefix="0" xfId="2">
      <alignment horizontal="center" vertical="center"/>
    </xf>
    <xf numFmtId="164" fontId="13" fillId="0" borderId="1" pivotButton="0" quotePrefix="0" xfId="2"/>
    <xf numFmtId="164" fontId="14" fillId="0" borderId="1" pivotButton="0" quotePrefix="0" xfId="2"/>
    <xf numFmtId="164" fontId="1" fillId="0" borderId="1" pivotButton="0" quotePrefix="0" xfId="2"/>
    <xf numFmtId="164" fontId="18" fillId="0" borderId="1" applyAlignment="1" pivotButton="0" quotePrefix="0" xfId="1">
      <alignment horizontal="center" vertical="center"/>
    </xf>
    <xf numFmtId="164" fontId="14" fillId="0" borderId="1" applyAlignment="1" pivotButton="0" quotePrefix="0" xfId="2">
      <alignment horizontal="center" vertical="center"/>
    </xf>
  </cellXfs>
  <cellStyles count="3">
    <cellStyle name="Normal" xfId="0" builtinId="0"/>
    <cellStyle name="Normal 2" xfId="1"/>
    <cellStyle name="Currency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topLeftCell="A29" workbookViewId="0">
      <selection activeCell="D36" sqref="D36"/>
    </sheetView>
  </sheetViews>
  <sheetFormatPr baseColWidth="10" defaultColWidth="12.5" defaultRowHeight="14"/>
  <cols>
    <col width="12.5" customWidth="1" style="1" min="1" max="1"/>
    <col width="51.5" customWidth="1" style="1" min="2" max="2"/>
    <col width="12.5" customWidth="1" style="17" min="3" max="3"/>
    <col width="12.5" customWidth="1" style="17" min="4" max="4"/>
    <col width="12.5" customWidth="1" style="1" min="5" max="16384"/>
  </cols>
  <sheetData>
    <row r="1">
      <c r="A1" s="51" t="inlineStr">
        <is>
          <t>COLEGIO FLORESTA</t>
        </is>
      </c>
    </row>
    <row r="2">
      <c r="A2" s="51" t="inlineStr">
        <is>
          <t xml:space="preserve">LISTA DE ÚTILES </t>
        </is>
      </c>
    </row>
    <row r="3">
      <c r="A3" s="51" t="inlineStr">
        <is>
          <t>PRIMER  GRADO T.V</t>
        </is>
      </c>
    </row>
    <row r="4">
      <c r="A4" s="50" t="inlineStr">
        <is>
          <t>CICLO ESCOLAR 2026-2027</t>
        </is>
      </c>
      <c r="B4" s="60" t="n"/>
      <c r="C4" s="60" t="n"/>
      <c r="D4" s="60" t="n"/>
      <c r="E4" s="60" t="n"/>
    </row>
    <row r="5" ht="30" customHeight="1">
      <c r="A5" s="5" t="inlineStr">
        <is>
          <t>CANTIDAD</t>
        </is>
      </c>
      <c r="B5" s="5" t="inlineStr">
        <is>
          <t>MATERIAL DIARIO</t>
        </is>
      </c>
      <c r="C5" s="5" t="inlineStr">
        <is>
          <t>P. UNITARIO</t>
        </is>
      </c>
      <c r="D5" s="5" t="inlineStr">
        <is>
          <t>TOTAL</t>
        </is>
      </c>
      <c r="E5" s="5" t="inlineStr">
        <is>
          <t>TOTAL PEDIDO</t>
        </is>
      </c>
    </row>
    <row r="6" ht="26.25" customHeight="1">
      <c r="A6" s="3" t="n">
        <v>5</v>
      </c>
      <c r="B6" s="10" t="inlineStr">
        <is>
          <t>Cuaderno profesional cuadro chico 100 hojas (Español, Inglés (forro naranja), Biología, Geografía, Historia)</t>
        </is>
      </c>
      <c r="C6" s="61" t="n">
        <v>150</v>
      </c>
      <c r="D6" s="62">
        <f>+A6*C6</f>
        <v/>
      </c>
      <c r="E6" s="12" t="n"/>
    </row>
    <row r="7" ht="17.25" customHeight="1">
      <c r="A7" s="3" t="n">
        <v>1</v>
      </c>
      <c r="B7" s="10" t="inlineStr">
        <is>
          <t>Cuaderno profesional cuadro chico 100 hojas  (Matemáticas)</t>
        </is>
      </c>
      <c r="C7" s="61" t="n">
        <v>150</v>
      </c>
      <c r="D7" s="62">
        <f>+A7*C7</f>
        <v/>
      </c>
      <c r="E7" s="12" t="n"/>
    </row>
    <row r="8" ht="16.5" customHeight="1">
      <c r="A8" s="3" t="n">
        <v>1</v>
      </c>
      <c r="B8" s="10" t="inlineStr">
        <is>
          <t>Cuaderno profesional pautado para música</t>
        </is>
      </c>
      <c r="C8" s="61" t="n">
        <v>90</v>
      </c>
      <c r="D8" s="62">
        <f>+A8*C8</f>
        <v/>
      </c>
      <c r="E8" s="12" t="n"/>
    </row>
    <row r="9" ht="15" customHeight="1">
      <c r="A9" s="3" t="n">
        <v>1</v>
      </c>
      <c r="B9" s="4" t="inlineStr">
        <is>
          <t>Melódica</t>
        </is>
      </c>
      <c r="C9" s="61" t="n">
        <v>280</v>
      </c>
      <c r="D9" s="62">
        <f>+A9*C9</f>
        <v/>
      </c>
      <c r="E9" s="12" t="n"/>
    </row>
    <row r="10" ht="17.25" customHeight="1">
      <c r="A10" s="3" t="n">
        <v>1</v>
      </c>
      <c r="B10" s="2" t="inlineStr">
        <is>
          <t>Bata blanca de algodón (Con nombre bordado)</t>
        </is>
      </c>
      <c r="C10" s="61" t="n">
        <v>300</v>
      </c>
      <c r="D10" s="62">
        <f>+A10*C10</f>
        <v/>
      </c>
      <c r="E10" s="12" t="n"/>
    </row>
    <row r="11" ht="16.5" customHeight="1">
      <c r="A11" s="3" t="n">
        <v>1</v>
      </c>
      <c r="B11" s="11" t="inlineStr">
        <is>
          <t>Block de hojas milimétricas 50 hojas</t>
        </is>
      </c>
      <c r="C11" s="61" t="n">
        <v>35</v>
      </c>
      <c r="D11" s="62">
        <f>+A11*C11</f>
        <v/>
      </c>
      <c r="E11" s="12" t="n"/>
    </row>
    <row r="12" ht="18" customHeight="1">
      <c r="A12" s="3" t="n">
        <v>1</v>
      </c>
      <c r="B12" s="2" t="inlineStr">
        <is>
          <t xml:space="preserve">Caja de 12 colores </t>
        </is>
      </c>
      <c r="C12" s="61" t="n">
        <v>150</v>
      </c>
      <c r="D12" s="62">
        <f>+A12*C12</f>
        <v/>
      </c>
      <c r="E12" s="12" t="n"/>
    </row>
    <row r="13" ht="17.25" customHeight="1">
      <c r="A13" s="3" t="n">
        <v>1</v>
      </c>
      <c r="B13" s="11" t="inlineStr">
        <is>
          <t xml:space="preserve">Caja de 12 plumones </t>
        </is>
      </c>
      <c r="C13" s="61" t="n">
        <v>70</v>
      </c>
      <c r="D13" s="62">
        <f>+A13*C13</f>
        <v/>
      </c>
      <c r="E13" s="12" t="n"/>
    </row>
    <row r="14" ht="16.5" customHeight="1">
      <c r="A14" s="3" t="n">
        <v>1</v>
      </c>
      <c r="B14" s="4" t="inlineStr">
        <is>
          <t>Corrector de cinta</t>
        </is>
      </c>
      <c r="C14" s="61" t="n">
        <v>60</v>
      </c>
      <c r="D14" s="62">
        <f>+A14*C14</f>
        <v/>
      </c>
      <c r="E14" s="12" t="n"/>
    </row>
    <row r="15" ht="16.5" customHeight="1">
      <c r="A15" s="3" t="n">
        <v>2</v>
      </c>
      <c r="B15" s="2" t="inlineStr">
        <is>
          <t>Goma de migajón (1 para entregar en la escuela)</t>
        </is>
      </c>
      <c r="C15" s="61" t="n">
        <v>10</v>
      </c>
      <c r="D15" s="62">
        <f>+A15*C15</f>
        <v/>
      </c>
      <c r="E15" s="12" t="n"/>
    </row>
    <row r="16" ht="17.25" customHeight="1">
      <c r="A16" s="3" t="n">
        <v>1</v>
      </c>
      <c r="B16" s="11" t="inlineStr">
        <is>
          <t xml:space="preserve">Juego de geometría  con compás de precisión </t>
        </is>
      </c>
      <c r="C16" s="61" t="n">
        <v>135</v>
      </c>
      <c r="D16" s="62">
        <f>+A16*C16</f>
        <v/>
      </c>
      <c r="E16" s="12" t="n"/>
    </row>
    <row r="17" ht="17.25" customHeight="1">
      <c r="A17" s="3" t="n">
        <v>2</v>
      </c>
      <c r="B17" s="4" t="inlineStr">
        <is>
          <t>Lápiz adhesivo tipo Pritt 22 g (1 para entregar)</t>
        </is>
      </c>
      <c r="C17" s="61" t="n">
        <v>40</v>
      </c>
      <c r="D17" s="62">
        <f>+A17*C17</f>
        <v/>
      </c>
      <c r="E17" s="12" t="n"/>
    </row>
    <row r="18" ht="16.5" customHeight="1">
      <c r="A18" s="3" t="n">
        <v>2</v>
      </c>
      <c r="B18" s="2" t="inlineStr">
        <is>
          <t>Lápiz No. 2 (1 se entrega en la escuela)</t>
        </is>
      </c>
      <c r="C18" s="61" t="n">
        <v>10</v>
      </c>
      <c r="D18" s="62">
        <f>+A18*C18</f>
        <v/>
      </c>
      <c r="E18" s="12" t="n"/>
    </row>
    <row r="19" ht="16.5" customHeight="1">
      <c r="A19" s="3" t="n">
        <v>2</v>
      </c>
      <c r="B19" s="4" t="inlineStr">
        <is>
          <t>Marcatextos (1 para entregar)</t>
        </is>
      </c>
      <c r="C19" s="61" t="n">
        <v>35</v>
      </c>
      <c r="D19" s="62">
        <f>+A19*C19</f>
        <v/>
      </c>
      <c r="E19" s="12" t="n"/>
    </row>
    <row r="20" ht="17.25" customHeight="1">
      <c r="A20" s="3" t="n">
        <v>2</v>
      </c>
      <c r="B20" s="2" t="inlineStr">
        <is>
          <t>Bolígrafo de tinta negra   (1 para entregar)</t>
        </is>
      </c>
      <c r="C20" s="61" t="n">
        <v>10</v>
      </c>
      <c r="D20" s="62">
        <f>+A20*C20</f>
        <v/>
      </c>
      <c r="E20" s="12" t="n"/>
    </row>
    <row r="21" ht="15" customHeight="1">
      <c r="A21" s="3" t="n">
        <v>2</v>
      </c>
      <c r="B21" s="4" t="inlineStr">
        <is>
          <t>Bolígrafo de tinta azul    (1 para entregar)</t>
        </is>
      </c>
      <c r="C21" s="61" t="n">
        <v>10</v>
      </c>
      <c r="D21" s="62">
        <f>+A21*C21</f>
        <v/>
      </c>
      <c r="E21" s="12" t="n"/>
    </row>
    <row r="22" ht="16.5" customHeight="1">
      <c r="A22" s="3" t="n">
        <v>2</v>
      </c>
      <c r="B22" s="4" t="inlineStr">
        <is>
          <t>Bolígrafo de tinta verde   (1 para entregar)</t>
        </is>
      </c>
      <c r="C22" s="61" t="n">
        <v>10</v>
      </c>
      <c r="D22" s="62">
        <f>+A22*C22</f>
        <v/>
      </c>
      <c r="E22" s="12" t="n"/>
    </row>
    <row r="23" ht="15" customHeight="1">
      <c r="A23" s="3" t="n">
        <v>2</v>
      </c>
      <c r="B23" s="4" t="inlineStr">
        <is>
          <t>Bolígrafo de tinta roja     (1 para entregar)</t>
        </is>
      </c>
      <c r="C23" s="61" t="n">
        <v>10</v>
      </c>
      <c r="D23" s="62">
        <f>+A23*C23</f>
        <v/>
      </c>
      <c r="E23" s="12" t="n"/>
    </row>
    <row r="24" ht="15.75" customHeight="1">
      <c r="A24" s="3" t="n">
        <v>1</v>
      </c>
      <c r="B24" s="4" t="inlineStr">
        <is>
          <t>Regla de 30 cm</t>
        </is>
      </c>
      <c r="C24" s="61" t="n">
        <v>20</v>
      </c>
      <c r="D24" s="62">
        <f>+A24*C24</f>
        <v/>
      </c>
      <c r="E24" s="12" t="n"/>
    </row>
    <row r="25" ht="14.25" customHeight="1">
      <c r="A25" s="3" t="n">
        <v>1</v>
      </c>
      <c r="B25" s="2" t="inlineStr">
        <is>
          <t>Sacapuntas con depósito</t>
        </is>
      </c>
      <c r="C25" s="61" t="n">
        <v>35</v>
      </c>
      <c r="D25" s="62">
        <f>+A25*C25</f>
        <v/>
      </c>
      <c r="E25" s="12" t="n"/>
    </row>
    <row r="26" ht="15.75" customHeight="1">
      <c r="A26" s="3" t="n">
        <v>1</v>
      </c>
      <c r="B26" s="2" t="inlineStr">
        <is>
          <t>Tijeras de punta roma</t>
        </is>
      </c>
      <c r="C26" s="61" t="n">
        <v>30</v>
      </c>
      <c r="D26" s="62">
        <f>+A26*C26</f>
        <v/>
      </c>
      <c r="E26" s="12" t="n"/>
    </row>
    <row r="27" ht="15.75" customHeight="1">
      <c r="A27" s="24" t="inlineStr">
        <is>
          <t>CANTIDAD</t>
        </is>
      </c>
      <c r="B27" s="24" t="inlineStr">
        <is>
          <t>MATERIAL PARA ENTREGAR</t>
        </is>
      </c>
      <c r="C27" s="5" t="n"/>
      <c r="D27" s="5" t="n"/>
      <c r="E27" s="5" t="n"/>
    </row>
    <row r="28">
      <c r="A28" s="3" t="n">
        <v>1</v>
      </c>
      <c r="B28" s="2" t="inlineStr">
        <is>
          <t>Paquete de 100 hojas de color tamaño carta</t>
        </is>
      </c>
      <c r="C28" s="63" t="n">
        <v>100</v>
      </c>
      <c r="D28" s="64">
        <f>+A28*C28</f>
        <v/>
      </c>
      <c r="E28" s="12" t="n"/>
    </row>
    <row r="29" ht="17.25" customHeight="1">
      <c r="A29" s="3" t="n">
        <v>1</v>
      </c>
      <c r="B29" s="2" t="inlineStr">
        <is>
          <t>Paquete de 100 hojas blancas tamaño carta</t>
        </is>
      </c>
      <c r="C29" s="63" t="n">
        <v>45</v>
      </c>
      <c r="D29" s="64">
        <f>+A29*C29</f>
        <v/>
      </c>
      <c r="E29" s="12" t="n"/>
    </row>
    <row r="30" ht="14.25" customHeight="1">
      <c r="A30" s="3" t="n">
        <v>1</v>
      </c>
      <c r="B30" s="2" t="inlineStr">
        <is>
          <t>Jabón líquido para manos 225 ml</t>
        </is>
      </c>
      <c r="C30" s="63" t="n">
        <v>60</v>
      </c>
      <c r="D30" s="64">
        <f>+A30*C30</f>
        <v/>
      </c>
      <c r="E30" s="12" t="n"/>
    </row>
    <row r="31" ht="15" customHeight="1">
      <c r="A31" s="3" t="n">
        <v>1</v>
      </c>
      <c r="B31" s="11" t="inlineStr">
        <is>
          <t>Paquete de conos para tomar agua</t>
        </is>
      </c>
      <c r="C31" s="63" t="n">
        <v>125</v>
      </c>
      <c r="D31" s="64">
        <f>+A31*C31</f>
        <v/>
      </c>
      <c r="E31" s="12" t="n"/>
    </row>
    <row r="32" ht="15" customHeight="1">
      <c r="A32" s="3" t="n">
        <v>5</v>
      </c>
      <c r="B32" s="2" t="inlineStr">
        <is>
          <t>Hoja de foami tamaño carta (Diferentes colores)</t>
        </is>
      </c>
      <c r="C32" s="63" t="n">
        <v>5</v>
      </c>
      <c r="D32" s="64">
        <f>+A32*C32</f>
        <v/>
      </c>
      <c r="E32" s="12" t="n"/>
    </row>
    <row r="33" ht="13.5" customHeight="1">
      <c r="A33" s="3" t="n">
        <v>3</v>
      </c>
      <c r="B33" s="2" t="inlineStr">
        <is>
          <t>Hoja de foami diamantado</t>
        </is>
      </c>
      <c r="C33" s="63" t="n">
        <v>15</v>
      </c>
      <c r="D33" s="64">
        <f>+A33*C33</f>
        <v/>
      </c>
      <c r="E33" s="12" t="n"/>
    </row>
    <row r="34" ht="15.75" customHeight="1">
      <c r="A34" s="3" t="n">
        <v>3</v>
      </c>
      <c r="B34" s="11" t="inlineStr">
        <is>
          <t>Paquete de Sanitas</t>
        </is>
      </c>
      <c r="C34" s="65" t="n">
        <v>50</v>
      </c>
      <c r="D34" s="64">
        <f>+A34*C34</f>
        <v/>
      </c>
      <c r="E34" s="13" t="n"/>
    </row>
    <row r="35" ht="15" customHeight="1">
      <c r="A35" s="3" t="n">
        <v>1</v>
      </c>
      <c r="B35" s="11" t="inlineStr">
        <is>
          <t>Nano tape</t>
        </is>
      </c>
      <c r="C35" s="65" t="n">
        <v>80</v>
      </c>
      <c r="D35" s="64">
        <f>+A35*C35</f>
        <v/>
      </c>
      <c r="E35" s="13" t="n"/>
    </row>
    <row r="36" ht="16.5" customHeight="1">
      <c r="A36" s="3" t="n">
        <v>1</v>
      </c>
      <c r="B36" s="11" t="inlineStr">
        <is>
          <t>Silicón frío 100 ml</t>
        </is>
      </c>
      <c r="C36" s="63" t="n">
        <v>40</v>
      </c>
      <c r="D36" s="64">
        <f>+A36*C36</f>
        <v/>
      </c>
      <c r="E36" s="12" t="n"/>
    </row>
    <row r="37" ht="15.75" customHeight="1">
      <c r="A37" s="3" t="n">
        <v>2</v>
      </c>
      <c r="B37" s="11" t="inlineStr">
        <is>
          <t>Fólder de plástico rígido</t>
        </is>
      </c>
      <c r="C37" s="63" t="n">
        <v>45</v>
      </c>
      <c r="D37" s="64">
        <f>+A37*C37</f>
        <v/>
      </c>
      <c r="E37" s="12" t="n"/>
    </row>
    <row r="38" ht="16.5" customHeight="1">
      <c r="A38" s="3" t="n">
        <v>1</v>
      </c>
      <c r="B38" s="11" t="inlineStr">
        <is>
          <t>Cinta diurex</t>
        </is>
      </c>
      <c r="C38" s="63" t="n">
        <v>20</v>
      </c>
      <c r="D38" s="64">
        <f>+A38*C38</f>
        <v/>
      </c>
      <c r="E38" s="12" t="n"/>
    </row>
    <row r="39">
      <c r="A39" s="3" t="n">
        <v>1</v>
      </c>
      <c r="B39" s="11" t="inlineStr">
        <is>
          <t>Cinta masking tape</t>
        </is>
      </c>
      <c r="C39" s="63" t="n">
        <v>45</v>
      </c>
      <c r="D39" s="64">
        <f>+A39*C39</f>
        <v/>
      </c>
      <c r="E39" s="12" t="n"/>
    </row>
    <row r="40">
      <c r="A40" s="3" t="n">
        <v>1</v>
      </c>
      <c r="B40" s="11" t="inlineStr">
        <is>
          <t>Paquete de 50 protectores de hojas para carpeta</t>
        </is>
      </c>
      <c r="C40" s="63" t="n">
        <v>120</v>
      </c>
      <c r="D40" s="64">
        <f>+A40*C40</f>
        <v/>
      </c>
      <c r="E40" s="12" t="n"/>
    </row>
    <row r="41">
      <c r="A41" s="3" t="n">
        <v>2</v>
      </c>
      <c r="B41" s="11" t="inlineStr">
        <is>
          <t>Pliego de papel lustre (Color a elegir)</t>
        </is>
      </c>
      <c r="C41" s="63" t="n">
        <v>15</v>
      </c>
      <c r="D41" s="64">
        <f>+A41*C41</f>
        <v/>
      </c>
      <c r="E41" s="12" t="n"/>
    </row>
    <row r="42" ht="15" customHeight="1">
      <c r="A42" s="3" t="n">
        <v>1</v>
      </c>
      <c r="B42" s="11" t="inlineStr">
        <is>
          <t>Pliego de papel américa amarillo</t>
        </is>
      </c>
      <c r="C42" s="66" t="n">
        <v>30</v>
      </c>
      <c r="D42" s="64">
        <f>+A42*C42</f>
        <v/>
      </c>
      <c r="E42" s="12" t="n"/>
    </row>
    <row r="43" ht="14.25" customHeight="1">
      <c r="A43" s="3" t="n">
        <v>2</v>
      </c>
      <c r="B43" s="11" t="inlineStr">
        <is>
          <t>Pliego de papel kraft</t>
        </is>
      </c>
      <c r="C43" s="63" t="n">
        <v>15</v>
      </c>
      <c r="D43" s="64">
        <f>+A43*C43</f>
        <v/>
      </c>
      <c r="E43" s="12" t="n"/>
    </row>
    <row r="44" ht="14.25" customHeight="1">
      <c r="A44" s="3" t="n">
        <v>3</v>
      </c>
      <c r="B44" s="11" t="inlineStr">
        <is>
          <t>Fólders tamaño carta</t>
        </is>
      </c>
      <c r="C44" s="63" t="n">
        <v>7</v>
      </c>
      <c r="D44" s="64">
        <f>+A44*C44</f>
        <v/>
      </c>
      <c r="E44" s="12" t="n"/>
    </row>
    <row r="45" ht="14.25" customHeight="1">
      <c r="A45" s="3" t="n">
        <v>4</v>
      </c>
      <c r="B45" s="37" t="inlineStr">
        <is>
          <t>Plumón para pizarrón blanco (Negro, rojo, verde y azul)</t>
        </is>
      </c>
      <c r="C45" s="63" t="n">
        <v>35</v>
      </c>
      <c r="D45" s="64">
        <f>+A45*C45</f>
        <v/>
      </c>
      <c r="E45" s="12" t="n"/>
    </row>
    <row r="46">
      <c r="A46" s="24" t="inlineStr">
        <is>
          <t>CANTIDAD</t>
        </is>
      </c>
      <c r="B46" s="24" t="inlineStr">
        <is>
          <t>LIBROS</t>
        </is>
      </c>
      <c r="C46" s="5" t="n"/>
      <c r="D46" s="5" t="n"/>
      <c r="E46" s="5" t="n"/>
    </row>
    <row r="47">
      <c r="A47" s="25" t="n">
        <v>1</v>
      </c>
      <c r="B47" s="11" t="inlineStr">
        <is>
          <t>Diccionario escolar de la lengua española Larousse</t>
        </is>
      </c>
      <c r="C47" s="67" t="n">
        <v>182</v>
      </c>
      <c r="D47" s="68">
        <f>+A47*C47</f>
        <v/>
      </c>
      <c r="E47" s="28" t="n"/>
    </row>
    <row r="48">
      <c r="A48" s="25" t="n">
        <v>1</v>
      </c>
      <c r="B48" s="11" t="inlineStr">
        <is>
          <t>Paquete Larousse</t>
        </is>
      </c>
      <c r="C48" s="67" t="n">
        <v>5280</v>
      </c>
      <c r="D48" s="68">
        <f>+A48*C48</f>
        <v/>
      </c>
      <c r="E48" s="28" t="n"/>
    </row>
    <row r="49">
      <c r="A49" s="25" t="n">
        <v>1</v>
      </c>
      <c r="B49" s="11" t="inlineStr">
        <is>
          <t>Constitución Política de los Estados Unidos Mexicanos</t>
        </is>
      </c>
      <c r="C49" s="67" t="n">
        <v>100</v>
      </c>
      <c r="D49" s="68">
        <f>+A49*C49</f>
        <v/>
      </c>
      <c r="E49" s="28" t="n"/>
    </row>
    <row r="50" ht="28" customHeight="1">
      <c r="A50" s="25" t="n">
        <v>1</v>
      </c>
      <c r="B50" s="2" t="inlineStr">
        <is>
          <t>Get Involved! A1+ Student's book ISBN: 9781380068750 (Básico)</t>
        </is>
      </c>
      <c r="C50" s="67" t="n">
        <v>1040</v>
      </c>
      <c r="D50" s="68">
        <f>+A50*C50</f>
        <v/>
      </c>
      <c r="E50" s="28" t="n"/>
    </row>
    <row r="51" ht="28" customHeight="1">
      <c r="A51" s="25" t="n">
        <v>1</v>
      </c>
      <c r="B51" s="11" t="inlineStr">
        <is>
          <t>Get Involved! B1 Student's book ISBN: 9781380068873 (Avanzado)</t>
        </is>
      </c>
      <c r="C51" s="67" t="n">
        <v>1040</v>
      </c>
      <c r="D51" s="68">
        <f>+A51*C51</f>
        <v/>
      </c>
      <c r="E51" s="28" t="n"/>
    </row>
    <row r="52" ht="15" customHeight="1">
      <c r="A52" s="48" t="inlineStr">
        <is>
          <t>TOTAL LIBROS EXCLUSIVAMENTE</t>
        </is>
      </c>
      <c r="B52" s="69" t="n"/>
      <c r="C52" s="70">
        <f>+SUM(D47:D50)</f>
        <v/>
      </c>
      <c r="D52" s="69" t="n"/>
      <c r="E52" s="71" t="n"/>
    </row>
    <row r="53" ht="15" customHeight="1">
      <c r="A53" s="48" t="inlineStr">
        <is>
          <t>TOTAL PALERIA Y LIBROS BÁSICO</t>
        </is>
      </c>
      <c r="B53" s="69" t="n"/>
      <c r="C53" s="70">
        <f>+SUM(D6:D50)</f>
        <v/>
      </c>
      <c r="D53" s="69" t="n"/>
      <c r="E53" s="72" t="n"/>
    </row>
    <row r="54">
      <c r="A54" s="48" t="inlineStr">
        <is>
          <t>TOTAL PAPELRIA Y LIBROS AVANZADO</t>
        </is>
      </c>
      <c r="B54" s="69" t="n"/>
      <c r="C54" s="73">
        <f>+SUM(D6:D49)+D51</f>
        <v/>
      </c>
      <c r="D54" s="69" t="n"/>
      <c r="E54" s="38" t="n"/>
    </row>
    <row r="55">
      <c r="A55" s="56" t="inlineStr">
        <is>
          <t>ALUMNO:</t>
        </is>
      </c>
      <c r="B55" s="69" t="n"/>
      <c r="C55" s="26" t="inlineStr">
        <is>
          <t>GRADO:</t>
        </is>
      </c>
      <c r="D55" s="71" t="n"/>
      <c r="E55" s="69" t="n"/>
    </row>
    <row r="56">
      <c r="A56" s="74" t="inlineStr">
        <is>
          <t>PADRE O TUTOR:</t>
        </is>
      </c>
      <c r="B56" s="75" t="n"/>
      <c r="C56" s="26" t="inlineStr">
        <is>
          <t>TELEFONO:</t>
        </is>
      </c>
      <c r="D56" s="71" t="n"/>
      <c r="E56" s="69" t="n"/>
    </row>
    <row r="57">
      <c r="A57" s="76" t="n"/>
      <c r="B57" s="77" t="n"/>
      <c r="C57" s="26" t="inlineStr">
        <is>
          <t>FECHA:</t>
        </is>
      </c>
      <c r="D57" s="71" t="n"/>
      <c r="E57" s="69" t="n"/>
    </row>
    <row r="58">
      <c r="A58" s="29" t="n"/>
      <c r="B58" s="29" t="n"/>
      <c r="C58" s="30" t="n"/>
      <c r="D58" s="30" t="n"/>
      <c r="E58" s="29" t="n"/>
    </row>
  </sheetData>
  <mergeCells count="16">
    <mergeCell ref="A54:B54"/>
    <mergeCell ref="A4:E4"/>
    <mergeCell ref="D55:E55"/>
    <mergeCell ref="A52:B52"/>
    <mergeCell ref="A2:E2"/>
    <mergeCell ref="C54:D54"/>
    <mergeCell ref="D57:E57"/>
    <mergeCell ref="A3:E3"/>
    <mergeCell ref="A1:E1"/>
    <mergeCell ref="C52:D52"/>
    <mergeCell ref="D56:E56"/>
    <mergeCell ref="C53:D53"/>
    <mergeCell ref="A56:B57"/>
    <mergeCell ref="A53:B53"/>
    <mergeCell ref="A55:B55"/>
    <mergeCell ref="E52:E53"/>
  </mergeCells>
  <pageMargins left="0.7" right="0.7" top="0.75" bottom="0.75" header="0.3" footer="0.3"/>
  <pageSetup orientation="portrait" scale="7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tabSelected="1" workbookViewId="0">
      <selection activeCell="D35" sqref="D35"/>
    </sheetView>
  </sheetViews>
  <sheetFormatPr baseColWidth="10" defaultColWidth="12.5" defaultRowHeight="14"/>
  <cols>
    <col width="11.5" customWidth="1" style="1" min="1" max="1"/>
    <col width="56.5" customWidth="1" style="1" min="2" max="2"/>
    <col width="12.5" customWidth="1" style="1" min="3" max="16384"/>
  </cols>
  <sheetData>
    <row r="1">
      <c r="A1" s="51" t="inlineStr">
        <is>
          <t>COLEGIO FLORESTA</t>
        </is>
      </c>
    </row>
    <row r="2">
      <c r="A2" s="51" t="inlineStr">
        <is>
          <t xml:space="preserve">LISTA DE ÚTILES </t>
        </is>
      </c>
    </row>
    <row r="3">
      <c r="A3" s="51" t="inlineStr">
        <is>
          <t>SEGUNDO  GRADO T.V</t>
        </is>
      </c>
    </row>
    <row r="4">
      <c r="A4" s="59" t="inlineStr">
        <is>
          <t>CICLO ESCOLAR 2026-2027</t>
        </is>
      </c>
      <c r="B4" s="60" t="n"/>
      <c r="C4" s="60" t="n"/>
      <c r="D4" s="60" t="n"/>
      <c r="E4" s="60" t="n"/>
    </row>
    <row r="5">
      <c r="A5" s="5" t="inlineStr">
        <is>
          <t>CANTIDAD</t>
        </is>
      </c>
      <c r="B5" s="5" t="inlineStr">
        <is>
          <t>MATERIAL DIARIO</t>
        </is>
      </c>
      <c r="C5" s="5" t="inlineStr">
        <is>
          <t>P. UNITARIO</t>
        </is>
      </c>
      <c r="D5" s="5" t="inlineStr">
        <is>
          <t>TOTAL</t>
        </is>
      </c>
      <c r="E5" s="5" t="inlineStr">
        <is>
          <t>TOTAL PEDIDO</t>
        </is>
      </c>
    </row>
    <row r="6" ht="30" customHeight="1">
      <c r="A6" s="3" t="n">
        <v>4</v>
      </c>
      <c r="B6" s="10" t="inlineStr">
        <is>
          <t>Cuaderno profesional cuadro chico 100 hojas (Español, Inglés (forro azul), Física, Historia)</t>
        </is>
      </c>
      <c r="C6" s="78" t="n">
        <v>150</v>
      </c>
      <c r="D6" s="79">
        <f>+A6*C6</f>
        <v/>
      </c>
      <c r="E6" s="12" t="n"/>
    </row>
    <row r="7" ht="20.25" customHeight="1">
      <c r="A7" s="3" t="n">
        <v>1</v>
      </c>
      <c r="B7" s="10" t="inlineStr">
        <is>
          <t>Cuaderno profesional cuadro chico 100 hojas (Matemáticas)</t>
        </is>
      </c>
      <c r="C7" s="78" t="n">
        <v>150</v>
      </c>
      <c r="D7" s="79">
        <f>+A7*C7</f>
        <v/>
      </c>
      <c r="E7" s="12" t="n"/>
    </row>
    <row r="8" ht="19.5" customHeight="1">
      <c r="A8" s="3" t="n">
        <v>1</v>
      </c>
      <c r="B8" s="4" t="inlineStr">
        <is>
          <t>Cuaderno profesional  pautado para música</t>
        </is>
      </c>
      <c r="C8" s="78" t="n">
        <v>90</v>
      </c>
      <c r="D8" s="79">
        <f>+A8*C8</f>
        <v/>
      </c>
      <c r="E8" s="12" t="n"/>
    </row>
    <row r="9" ht="19.5" customHeight="1">
      <c r="A9" s="3" t="n">
        <v>1</v>
      </c>
      <c r="B9" s="10" t="inlineStr">
        <is>
          <t>Melódica</t>
        </is>
      </c>
      <c r="C9" s="78" t="n">
        <v>280</v>
      </c>
      <c r="D9" s="79">
        <f>+A9*C9</f>
        <v/>
      </c>
      <c r="E9" s="12" t="n"/>
    </row>
    <row r="10" ht="18.75" customHeight="1">
      <c r="A10" s="3" t="n">
        <v>1</v>
      </c>
      <c r="B10" s="2" t="inlineStr">
        <is>
          <t>Bata blanca de algodón (Con nombre bordado)</t>
        </is>
      </c>
      <c r="C10" s="78" t="n">
        <v>300</v>
      </c>
      <c r="D10" s="79">
        <f>+A10*C10</f>
        <v/>
      </c>
      <c r="E10" s="12" t="n"/>
    </row>
    <row r="11" ht="17.25" customHeight="1">
      <c r="A11" s="3" t="n">
        <v>1</v>
      </c>
      <c r="B11" s="2" t="inlineStr">
        <is>
          <t xml:space="preserve">Caja de 12 colores </t>
        </is>
      </c>
      <c r="C11" s="78" t="n">
        <v>150</v>
      </c>
      <c r="D11" s="79">
        <f>+A11*C11</f>
        <v/>
      </c>
      <c r="E11" s="12" t="n"/>
    </row>
    <row r="12" ht="18.75" customHeight="1">
      <c r="A12" s="3" t="n">
        <v>1</v>
      </c>
      <c r="B12" s="2" t="inlineStr">
        <is>
          <t>Caja de 12 plumones</t>
        </is>
      </c>
      <c r="C12" s="80" t="n">
        <v>70</v>
      </c>
      <c r="D12" s="79">
        <f>+A12*C12</f>
        <v/>
      </c>
      <c r="E12" s="12" t="n"/>
    </row>
    <row r="13" ht="17.25" customHeight="1">
      <c r="A13" s="3" t="n">
        <v>1</v>
      </c>
      <c r="B13" s="4" t="inlineStr">
        <is>
          <t>Corrector de cinta</t>
        </is>
      </c>
      <c r="C13" s="78" t="n">
        <v>60</v>
      </c>
      <c r="D13" s="79">
        <f>+A13*C13</f>
        <v/>
      </c>
      <c r="E13" s="12" t="n"/>
    </row>
    <row r="14" ht="17.25" customHeight="1">
      <c r="A14" s="3" t="n">
        <v>2</v>
      </c>
      <c r="B14" s="2" t="inlineStr">
        <is>
          <t>Goma de migajón (1 se entrega en la escuela)</t>
        </is>
      </c>
      <c r="C14" s="78" t="n">
        <v>10</v>
      </c>
      <c r="D14" s="79">
        <f>+A14*C14</f>
        <v/>
      </c>
      <c r="E14" s="12" t="n"/>
    </row>
    <row r="15" ht="18" customHeight="1">
      <c r="A15" s="3" t="n">
        <v>1</v>
      </c>
      <c r="B15" s="2" t="inlineStr">
        <is>
          <t xml:space="preserve">Juego de geometría  con compás de precisión </t>
        </is>
      </c>
      <c r="C15" s="78" t="n">
        <v>135</v>
      </c>
      <c r="D15" s="79">
        <f>+A15*C15</f>
        <v/>
      </c>
      <c r="E15" s="12" t="n"/>
    </row>
    <row r="16" ht="15.75" customHeight="1">
      <c r="A16" s="3" t="n">
        <v>2</v>
      </c>
      <c r="B16" s="2" t="inlineStr">
        <is>
          <t>Lápiz adhesivo tipo Pritt 22 g (1 para entregar)</t>
        </is>
      </c>
      <c r="C16" s="78" t="n">
        <v>40</v>
      </c>
      <c r="D16" s="79">
        <f>+A16*C16</f>
        <v/>
      </c>
      <c r="E16" s="12" t="n"/>
    </row>
    <row r="17" ht="15.75" customHeight="1">
      <c r="A17" s="3" t="n">
        <v>2</v>
      </c>
      <c r="B17" s="2" t="inlineStr">
        <is>
          <t>Lápiz No. 2 (1 para entregar)</t>
        </is>
      </c>
      <c r="C17" s="78" t="n">
        <v>10</v>
      </c>
      <c r="D17" s="79">
        <f>+A17*C17</f>
        <v/>
      </c>
      <c r="E17" s="12" t="n"/>
    </row>
    <row r="18" ht="17.25" customHeight="1">
      <c r="A18" s="3" t="n">
        <v>2</v>
      </c>
      <c r="B18" s="4" t="inlineStr">
        <is>
          <t>Marcatextos (1 para entregar)</t>
        </is>
      </c>
      <c r="C18" s="78" t="n">
        <v>35</v>
      </c>
      <c r="D18" s="79">
        <f>+A18*C18</f>
        <v/>
      </c>
      <c r="E18" s="12" t="n"/>
    </row>
    <row r="19" ht="18" customHeight="1">
      <c r="A19" s="3" t="n">
        <v>2</v>
      </c>
      <c r="B19" s="2" t="inlineStr">
        <is>
          <t>Bolígrafo de tinta negra (1 para entregar)</t>
        </is>
      </c>
      <c r="C19" s="78" t="n">
        <v>10</v>
      </c>
      <c r="D19" s="79">
        <f>+A19*C19</f>
        <v/>
      </c>
      <c r="E19" s="12" t="n"/>
    </row>
    <row r="20" ht="17.25" customHeight="1">
      <c r="A20" s="3" t="n">
        <v>2</v>
      </c>
      <c r="B20" s="4" t="inlineStr">
        <is>
          <t>Bolígrafo de tinta azul (1 para entregar)</t>
        </is>
      </c>
      <c r="C20" s="78" t="n">
        <v>10</v>
      </c>
      <c r="D20" s="79">
        <f>+A20*C20</f>
        <v/>
      </c>
      <c r="E20" s="12" t="n"/>
    </row>
    <row r="21" ht="17.25" customHeight="1">
      <c r="A21" s="3" t="n">
        <v>2</v>
      </c>
      <c r="B21" s="4" t="inlineStr">
        <is>
          <t>Bolígrafo de tinta roja (1 para entregar)</t>
        </is>
      </c>
      <c r="C21" s="78" t="n">
        <v>10</v>
      </c>
      <c r="D21" s="79">
        <f>+A21*C21</f>
        <v/>
      </c>
      <c r="E21" s="12" t="n"/>
    </row>
    <row r="22" ht="18.75" customHeight="1">
      <c r="A22" s="3" t="n">
        <v>1</v>
      </c>
      <c r="B22" s="4" t="inlineStr">
        <is>
          <t>Regla de 30 cm</t>
        </is>
      </c>
      <c r="C22" s="78" t="n">
        <v>20</v>
      </c>
      <c r="D22" s="79">
        <f>+A22*C22</f>
        <v/>
      </c>
      <c r="E22" s="12" t="n"/>
    </row>
    <row r="23" ht="18" customHeight="1">
      <c r="A23" s="3" t="n">
        <v>1</v>
      </c>
      <c r="B23" s="2" t="inlineStr">
        <is>
          <t>Sacapuntas con depósito</t>
        </is>
      </c>
      <c r="C23" s="78" t="n">
        <v>35</v>
      </c>
      <c r="D23" s="79">
        <f>+A23*C23</f>
        <v/>
      </c>
      <c r="E23" s="12" t="n"/>
    </row>
    <row r="24" ht="18.75" customHeight="1">
      <c r="A24" s="3" t="n">
        <v>1</v>
      </c>
      <c r="B24" s="2" t="inlineStr">
        <is>
          <t>Tijeras de punta roma</t>
        </is>
      </c>
      <c r="C24" s="78" t="n">
        <v>30</v>
      </c>
      <c r="D24" s="79">
        <f>+A24*C24</f>
        <v/>
      </c>
      <c r="E24" s="12" t="n"/>
    </row>
    <row r="25" ht="18" customHeight="1">
      <c r="A25" s="9" t="inlineStr">
        <is>
          <t>CANTIDAD</t>
        </is>
      </c>
      <c r="B25" s="8" t="inlineStr">
        <is>
          <t>MATERIAL PARA ENTREGAR</t>
        </is>
      </c>
      <c r="C25" s="5" t="inlineStr">
        <is>
          <t>P. UNITARIO</t>
        </is>
      </c>
      <c r="D25" s="5" t="inlineStr">
        <is>
          <t>TOTAL</t>
        </is>
      </c>
      <c r="E25" s="5" t="inlineStr">
        <is>
          <t>TOTAL PEDIDO</t>
        </is>
      </c>
    </row>
    <row r="26">
      <c r="A26" s="3" t="n">
        <v>1</v>
      </c>
      <c r="B26" s="4" t="inlineStr">
        <is>
          <t>Paquete de 100 hojas de color  tamaño  carta</t>
        </is>
      </c>
      <c r="C26" s="78" t="n">
        <v>100</v>
      </c>
      <c r="D26" s="79">
        <f>+A26*C26</f>
        <v/>
      </c>
      <c r="E26" s="12" t="n"/>
    </row>
    <row r="27" ht="20.25" customHeight="1">
      <c r="A27" s="3" t="n">
        <v>1</v>
      </c>
      <c r="B27" s="10" t="inlineStr">
        <is>
          <t>Paquete de 100 hojas blancas  tamaño  carta</t>
        </is>
      </c>
      <c r="C27" s="78" t="n">
        <v>45</v>
      </c>
      <c r="D27" s="79">
        <f>+A27*C27</f>
        <v/>
      </c>
      <c r="E27" s="12" t="n"/>
    </row>
    <row r="28" ht="18.75" customHeight="1">
      <c r="A28" s="3" t="n">
        <v>1</v>
      </c>
      <c r="B28" s="10" t="inlineStr">
        <is>
          <t>Jabón líquido para manos 225 ml</t>
        </is>
      </c>
      <c r="C28" s="78" t="n">
        <v>60</v>
      </c>
      <c r="D28" s="79">
        <f>+A28*C28</f>
        <v/>
      </c>
      <c r="E28" s="12" t="n"/>
    </row>
    <row r="29" ht="18.75" customHeight="1">
      <c r="A29" s="3" t="n">
        <v>1</v>
      </c>
      <c r="B29" s="10" t="inlineStr">
        <is>
          <t>Paquete de conos para tomar agua</t>
        </is>
      </c>
      <c r="C29" s="78" t="n">
        <v>125</v>
      </c>
      <c r="D29" s="79">
        <f>+A29*C29</f>
        <v/>
      </c>
      <c r="E29" s="12" t="n"/>
    </row>
    <row r="30" ht="18.75" customHeight="1">
      <c r="A30" s="3" t="n">
        <v>1</v>
      </c>
      <c r="B30" s="10" t="inlineStr">
        <is>
          <t>Sobre amarillo tamaño carta</t>
        </is>
      </c>
      <c r="C30" s="78" t="n">
        <v>9</v>
      </c>
      <c r="D30" s="79">
        <f>+A30*C30</f>
        <v/>
      </c>
      <c r="E30" s="12" t="n"/>
    </row>
    <row r="31" ht="18.75" customHeight="1">
      <c r="A31" s="3" t="n">
        <v>5</v>
      </c>
      <c r="B31" s="10" t="inlineStr">
        <is>
          <t>Hoja de foami tamaño carta (Diferentes colores)</t>
        </is>
      </c>
      <c r="C31" s="78" t="n">
        <v>5</v>
      </c>
      <c r="D31" s="79">
        <f>+A31*C31</f>
        <v/>
      </c>
      <c r="E31" s="12" t="n"/>
    </row>
    <row r="32" ht="18.75" customHeight="1">
      <c r="A32" s="3" t="n">
        <v>3</v>
      </c>
      <c r="B32" s="10" t="inlineStr">
        <is>
          <t>Hoja de foami diamantado</t>
        </is>
      </c>
      <c r="C32" s="78" t="n">
        <v>15</v>
      </c>
      <c r="D32" s="79">
        <f>+A32*C32</f>
        <v/>
      </c>
      <c r="E32" s="12" t="n"/>
    </row>
    <row r="33" ht="24" customHeight="1">
      <c r="A33" s="3" t="n">
        <v>3</v>
      </c>
      <c r="B33" s="10" t="inlineStr">
        <is>
          <t>Paquete de Sanitas</t>
        </is>
      </c>
      <c r="C33" s="81" t="n">
        <v>50</v>
      </c>
      <c r="D33" s="79">
        <f>+A33*C33</f>
        <v/>
      </c>
      <c r="E33" s="12" t="n"/>
    </row>
    <row r="34" ht="21" customHeight="1">
      <c r="A34" s="3" t="n">
        <v>1</v>
      </c>
      <c r="B34" s="10" t="inlineStr">
        <is>
          <t>Cinta diurex gruesa</t>
        </is>
      </c>
      <c r="C34" s="81" t="n">
        <v>65</v>
      </c>
      <c r="D34" s="79">
        <f>+A34*C34</f>
        <v/>
      </c>
      <c r="E34" s="12" t="n"/>
    </row>
    <row r="35" ht="18" customHeight="1">
      <c r="A35" s="3" t="n">
        <v>1</v>
      </c>
      <c r="B35" s="10" t="inlineStr">
        <is>
          <t>Silicón frío 100 ml</t>
        </is>
      </c>
      <c r="C35" s="82" t="n">
        <v>40</v>
      </c>
      <c r="D35" s="79">
        <f>+A35*C35</f>
        <v/>
      </c>
      <c r="E35" s="13" t="n"/>
    </row>
    <row r="36" ht="19.5" customHeight="1">
      <c r="A36" s="3" t="n">
        <v>1</v>
      </c>
      <c r="B36" s="10" t="inlineStr">
        <is>
          <t>Paquete de 50 protectores de hojas para carpeta</t>
        </is>
      </c>
      <c r="C36" s="82" t="n">
        <v>120</v>
      </c>
      <c r="D36" s="79">
        <f>+A36*C36</f>
        <v/>
      </c>
      <c r="E36" s="13" t="n"/>
    </row>
    <row r="37" ht="15.75" customHeight="1">
      <c r="A37" s="3" t="n">
        <v>2</v>
      </c>
      <c r="B37" s="4" t="inlineStr">
        <is>
          <t>Sobre de plástico rígido</t>
        </is>
      </c>
      <c r="C37" s="82" t="n">
        <v>45</v>
      </c>
      <c r="D37" s="79">
        <f>+A37*C37</f>
        <v/>
      </c>
      <c r="E37" s="13" t="n"/>
    </row>
    <row r="38" ht="15" customHeight="1">
      <c r="A38" s="3" t="n">
        <v>1</v>
      </c>
      <c r="B38" s="10" t="inlineStr">
        <is>
          <t>Pliego de papel américa amarillo</t>
        </is>
      </c>
      <c r="C38" s="82" t="n">
        <v>30</v>
      </c>
      <c r="D38" s="79">
        <f>+A38*C38</f>
        <v/>
      </c>
      <c r="E38" s="13" t="n"/>
    </row>
    <row r="39" ht="15" customHeight="1">
      <c r="A39" s="3" t="n">
        <v>2</v>
      </c>
      <c r="B39" s="10" t="inlineStr">
        <is>
          <t>Pliego de papel lustre (Color a elegir)</t>
        </is>
      </c>
      <c r="C39" s="82" t="n">
        <v>15</v>
      </c>
      <c r="D39" s="79">
        <f>+A39*C39</f>
        <v/>
      </c>
      <c r="E39" s="13" t="n"/>
    </row>
    <row r="40" ht="15" customHeight="1">
      <c r="A40" s="3" t="n">
        <v>2</v>
      </c>
      <c r="B40" s="10" t="inlineStr">
        <is>
          <t>Pliego de papel kraft</t>
        </is>
      </c>
      <c r="C40" s="82" t="n">
        <v>15</v>
      </c>
      <c r="D40" s="79">
        <f>+A40*C40</f>
        <v/>
      </c>
      <c r="E40" s="13" t="n"/>
    </row>
    <row r="41" ht="15" customHeight="1">
      <c r="A41" s="3" t="n">
        <v>1</v>
      </c>
      <c r="B41" s="10" t="inlineStr">
        <is>
          <t>Cinta masking tape</t>
        </is>
      </c>
      <c r="C41" s="82" t="n">
        <v>45</v>
      </c>
      <c r="D41" s="79">
        <f>+A41*C41</f>
        <v/>
      </c>
      <c r="E41" s="13" t="n"/>
    </row>
    <row r="42" ht="15" customHeight="1">
      <c r="A42" s="3" t="n">
        <v>3</v>
      </c>
      <c r="B42" s="10" t="inlineStr">
        <is>
          <t>Fólder tamaño carta beige</t>
        </is>
      </c>
      <c r="C42" s="82" t="n">
        <v>7</v>
      </c>
      <c r="D42" s="79">
        <f>+A42*C42</f>
        <v/>
      </c>
      <c r="E42" s="13" t="n"/>
    </row>
    <row r="43" ht="15" customHeight="1">
      <c r="A43" s="3" t="n">
        <v>4</v>
      </c>
      <c r="B43" s="35" t="inlineStr">
        <is>
          <t>Plumón para pizarrón blanco (Negro, rojo, verde y azul)</t>
        </is>
      </c>
      <c r="C43" s="82" t="n">
        <v>35</v>
      </c>
      <c r="D43" s="79">
        <f>+A43*C43</f>
        <v/>
      </c>
      <c r="E43" s="13" t="n"/>
    </row>
    <row r="44" ht="17.25" customHeight="1">
      <c r="A44" s="9" t="n"/>
      <c r="B44" s="8" t="inlineStr">
        <is>
          <t>LIBROS</t>
        </is>
      </c>
      <c r="C44" s="5" t="inlineStr">
        <is>
          <t>P. UNITARIO</t>
        </is>
      </c>
      <c r="D44" s="5" t="inlineStr">
        <is>
          <t>TOTAL</t>
        </is>
      </c>
      <c r="E44" s="5" t="inlineStr">
        <is>
          <t>TOTAL PEDIDO</t>
        </is>
      </c>
    </row>
    <row r="45" ht="19.5" customHeight="1">
      <c r="A45" s="3" t="n">
        <v>1</v>
      </c>
      <c r="B45" s="2" t="inlineStr">
        <is>
          <t>Diccionario escolar de la lengua española Larousse</t>
        </is>
      </c>
      <c r="C45" s="83" t="n">
        <v>182</v>
      </c>
      <c r="D45" s="79">
        <f>+A45*C45</f>
        <v/>
      </c>
      <c r="E45" s="12" t="n"/>
    </row>
    <row r="46" ht="15" customHeight="1">
      <c r="A46" s="3" t="n">
        <v>1</v>
      </c>
      <c r="B46" s="2" t="inlineStr">
        <is>
          <t>Paquete Larousse</t>
        </is>
      </c>
      <c r="C46" s="83" t="n">
        <v>5280</v>
      </c>
      <c r="D46" s="79">
        <f>+A46*C46</f>
        <v/>
      </c>
      <c r="E46" s="12" t="n"/>
    </row>
    <row r="47" ht="16.5" customHeight="1">
      <c r="A47" s="3" t="n">
        <v>1</v>
      </c>
      <c r="B47" s="2" t="inlineStr">
        <is>
          <t>Constitución Política de los Estados Unidos Mexicanos</t>
        </is>
      </c>
      <c r="C47" s="83" t="n">
        <v>100</v>
      </c>
      <c r="D47" s="79">
        <f>+A47*C47</f>
        <v/>
      </c>
      <c r="E47" s="12" t="n"/>
    </row>
    <row r="48" ht="16.5" customHeight="1">
      <c r="A48" s="3" t="n">
        <v>1</v>
      </c>
      <c r="B48" s="2" t="inlineStr">
        <is>
          <t>Get Involved! A1+ Student's book ISBN: 9781380068750 (Básico)</t>
        </is>
      </c>
      <c r="C48" s="83" t="n">
        <v>1040</v>
      </c>
      <c r="D48" s="79">
        <f>+A48*C48</f>
        <v/>
      </c>
      <c r="E48" s="12" t="n"/>
    </row>
    <row r="49" ht="20.25" customHeight="1">
      <c r="A49" s="3" t="n">
        <v>1</v>
      </c>
      <c r="B49" s="11" t="inlineStr">
        <is>
          <t>Get Involved! B1 Student's book ISBN: 9781380068873 (Avanzado)</t>
        </is>
      </c>
      <c r="C49" s="83" t="n">
        <v>1040</v>
      </c>
      <c r="D49" s="79">
        <f>+A49*C49</f>
        <v/>
      </c>
      <c r="E49" s="12" t="n"/>
    </row>
    <row r="50">
      <c r="A50" s="48" t="inlineStr">
        <is>
          <t>TOTAL LIBROS EXCLUSIVAMENTE</t>
        </is>
      </c>
      <c r="B50" s="69" t="n"/>
      <c r="C50" s="73">
        <f>+SUM(D45:D48)</f>
        <v/>
      </c>
      <c r="D50" s="69" t="n"/>
      <c r="E50" s="71" t="n"/>
    </row>
    <row r="51">
      <c r="A51" s="48" t="inlineStr">
        <is>
          <t>TOTAL PALERIA Y LIBROS BÁSICO</t>
        </is>
      </c>
      <c r="B51" s="69" t="n"/>
      <c r="C51" s="84">
        <f>+SUM(D6:D48)</f>
        <v/>
      </c>
      <c r="D51" s="69" t="n"/>
      <c r="E51" s="72" t="n"/>
    </row>
    <row r="52">
      <c r="A52" s="48" t="inlineStr">
        <is>
          <t>TOTAL PAPELRIA Y LIBROS AVANZADO</t>
        </is>
      </c>
      <c r="B52" s="69" t="n"/>
      <c r="C52" s="73">
        <f>+SUM(D4:D47)+D49</f>
        <v/>
      </c>
      <c r="D52" s="69" t="n"/>
      <c r="E52" s="28" t="n"/>
    </row>
    <row r="53">
      <c r="A53" s="39" t="inlineStr">
        <is>
          <t>ALUMNO:</t>
        </is>
      </c>
      <c r="B53" s="69" t="n"/>
      <c r="C53" s="26" t="inlineStr">
        <is>
          <t>GRADO:</t>
        </is>
      </c>
      <c r="D53" s="71" t="n"/>
      <c r="E53" s="69" t="n"/>
    </row>
    <row r="54">
      <c r="A54" s="74" t="inlineStr">
        <is>
          <t>PADRE O TUTOR:</t>
        </is>
      </c>
      <c r="B54" s="75" t="n"/>
      <c r="C54" s="26" t="inlineStr">
        <is>
          <t>TELEFONO:</t>
        </is>
      </c>
      <c r="D54" s="71" t="n"/>
      <c r="E54" s="69" t="n"/>
    </row>
    <row r="55">
      <c r="A55" s="76" t="n"/>
      <c r="B55" s="77" t="n"/>
      <c r="C55" s="26" t="inlineStr">
        <is>
          <t>FECHA:</t>
        </is>
      </c>
      <c r="D55" s="71" t="n"/>
      <c r="E55" s="69" t="n"/>
    </row>
  </sheetData>
  <mergeCells count="16">
    <mergeCell ref="A4:E4"/>
    <mergeCell ref="D55:E55"/>
    <mergeCell ref="A52:B52"/>
    <mergeCell ref="A54:B55"/>
    <mergeCell ref="A2:E2"/>
    <mergeCell ref="A50:B50"/>
    <mergeCell ref="C51:D51"/>
    <mergeCell ref="A51:B51"/>
    <mergeCell ref="C50:D50"/>
    <mergeCell ref="A3:E3"/>
    <mergeCell ref="A1:E1"/>
    <mergeCell ref="C52:D52"/>
    <mergeCell ref="D54:E54"/>
    <mergeCell ref="E50:E51"/>
    <mergeCell ref="A53:B53"/>
    <mergeCell ref="D53:E53"/>
  </mergeCells>
  <pageMargins left="0.25" right="0.25" top="0.75" bottom="0.75" header="0.3" footer="0.3"/>
  <pageSetup orientation="portrait" scale="8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topLeftCell="A2" zoomScaleNormal="100" workbookViewId="0">
      <selection activeCell="D35" sqref="D35"/>
    </sheetView>
  </sheetViews>
  <sheetFormatPr baseColWidth="10" defaultColWidth="12.5" defaultRowHeight="14"/>
  <cols>
    <col width="12.5" customWidth="1" style="1" min="1" max="1"/>
    <col width="52.6640625" customWidth="1" style="1" min="2" max="2"/>
    <col width="12.5" customWidth="1" style="17" min="3" max="4"/>
    <col width="12.5" customWidth="1" style="1" min="5" max="16384"/>
  </cols>
  <sheetData>
    <row r="1">
      <c r="A1" s="51" t="inlineStr">
        <is>
          <t>COLEGIO FLORESTA</t>
        </is>
      </c>
    </row>
    <row r="2">
      <c r="A2" s="51" t="inlineStr">
        <is>
          <t xml:space="preserve">LISTA DE ÚTILES </t>
        </is>
      </c>
    </row>
    <row r="3">
      <c r="A3" s="51" t="inlineStr">
        <is>
          <t>TERCER  GRADO T.V</t>
        </is>
      </c>
    </row>
    <row r="4">
      <c r="A4" s="50" t="inlineStr">
        <is>
          <t>CICLO ESCOLAR 2026-2027</t>
        </is>
      </c>
      <c r="B4" s="60" t="n"/>
      <c r="C4" s="60" t="n"/>
      <c r="D4" s="60" t="n"/>
      <c r="E4" s="60" t="n"/>
    </row>
    <row r="5">
      <c r="A5" s="5" t="inlineStr">
        <is>
          <t>CANTIDAD</t>
        </is>
      </c>
      <c r="B5" s="5" t="inlineStr">
        <is>
          <t>MATERIAL DIARIO</t>
        </is>
      </c>
      <c r="C5" s="5" t="inlineStr">
        <is>
          <t>P. UNITARIO</t>
        </is>
      </c>
      <c r="D5" s="5" t="inlineStr">
        <is>
          <t>TOTAL</t>
        </is>
      </c>
      <c r="E5" s="5" t="inlineStr">
        <is>
          <t>TOTAL PEDIDO</t>
        </is>
      </c>
    </row>
    <row r="6" ht="30.75" customHeight="1">
      <c r="A6" s="3" t="n">
        <v>5</v>
      </c>
      <c r="B6" s="10" t="inlineStr">
        <is>
          <t>Cuaderno profesional cuadro chico 100 hojas (Español, Inglés (forrado color verde), Química, Historia (2))</t>
        </is>
      </c>
      <c r="C6" s="61" t="n">
        <v>150</v>
      </c>
      <c r="D6" s="62">
        <f>+A6*C6</f>
        <v/>
      </c>
      <c r="E6" s="12" t="n"/>
    </row>
    <row r="7" ht="21.75" customHeight="1">
      <c r="A7" s="3" t="n">
        <v>1</v>
      </c>
      <c r="B7" s="10" t="inlineStr">
        <is>
          <t>Cuaderno profesional cuadro chico 100 hojas (Matemáticas)</t>
        </is>
      </c>
      <c r="C7" s="61" t="n">
        <v>150</v>
      </c>
      <c r="D7" s="62">
        <f>+A7*C7</f>
        <v/>
      </c>
      <c r="E7" s="12" t="n"/>
    </row>
    <row r="8" ht="17.25" customHeight="1">
      <c r="A8" s="3" t="n">
        <v>1</v>
      </c>
      <c r="B8" s="10" t="inlineStr">
        <is>
          <t>Cuaderno profesional  pautado para música</t>
        </is>
      </c>
      <c r="C8" s="61" t="n">
        <v>90</v>
      </c>
      <c r="D8" s="62">
        <f>+A8*C8</f>
        <v/>
      </c>
      <c r="E8" s="12" t="n"/>
    </row>
    <row r="9" ht="17.25" customHeight="1">
      <c r="A9" s="3" t="n">
        <v>1</v>
      </c>
      <c r="B9" s="4" t="inlineStr">
        <is>
          <t>Melódica</t>
        </is>
      </c>
      <c r="C9" s="61" t="n">
        <v>280</v>
      </c>
      <c r="D9" s="62">
        <f>+A9*C9</f>
        <v/>
      </c>
      <c r="E9" s="12" t="n"/>
    </row>
    <row r="10" ht="17.25" customHeight="1">
      <c r="A10" s="3" t="n">
        <v>1</v>
      </c>
      <c r="B10" s="4" t="inlineStr">
        <is>
          <t>Bata blanca de algodón (Bordada)</t>
        </is>
      </c>
      <c r="C10" s="61" t="n">
        <v>300</v>
      </c>
      <c r="D10" s="62">
        <f>+A10*C10</f>
        <v/>
      </c>
      <c r="E10" s="12" t="n"/>
    </row>
    <row r="11" ht="20.25" customHeight="1">
      <c r="A11" s="3" t="n">
        <v>1</v>
      </c>
      <c r="B11" s="4" t="inlineStr">
        <is>
          <t>Caja de 12 colores</t>
        </is>
      </c>
      <c r="C11" s="61" t="n">
        <v>150</v>
      </c>
      <c r="D11" s="62">
        <f>+A11*C11</f>
        <v/>
      </c>
      <c r="E11" s="12" t="n"/>
    </row>
    <row r="12" ht="16.5" customHeight="1">
      <c r="A12" s="3" t="n">
        <v>1</v>
      </c>
      <c r="B12" s="2" t="inlineStr">
        <is>
          <t>Caja de 12 plumones</t>
        </is>
      </c>
      <c r="C12" s="61" t="n">
        <v>70</v>
      </c>
      <c r="D12" s="62">
        <f>+A12*C12</f>
        <v/>
      </c>
      <c r="E12" s="12" t="n"/>
    </row>
    <row r="13" ht="14.25" customHeight="1">
      <c r="A13" s="3" t="n">
        <v>1</v>
      </c>
      <c r="B13" s="4" t="inlineStr">
        <is>
          <t>Corrector de cinta</t>
        </is>
      </c>
      <c r="C13" s="61" t="n">
        <v>60</v>
      </c>
      <c r="D13" s="62">
        <f>+A13*C13</f>
        <v/>
      </c>
      <c r="E13" s="12" t="n"/>
    </row>
    <row r="14" ht="15" customHeight="1">
      <c r="A14" s="3" t="n">
        <v>2</v>
      </c>
      <c r="B14" s="10" t="inlineStr">
        <is>
          <t>Goma de migajón (1 se entrega en la escuela)</t>
        </is>
      </c>
      <c r="C14" s="61" t="n">
        <v>10</v>
      </c>
      <c r="D14" s="62">
        <f>+A14*C14</f>
        <v/>
      </c>
      <c r="E14" s="12" t="n"/>
    </row>
    <row r="15" ht="15" customHeight="1">
      <c r="A15" s="3" t="n">
        <v>1</v>
      </c>
      <c r="B15" s="10" t="inlineStr">
        <is>
          <t xml:space="preserve">Juego  de  geometría  con compás de precisión </t>
        </is>
      </c>
      <c r="C15" s="61" t="n">
        <v>135</v>
      </c>
      <c r="D15" s="62">
        <f>+A15*C15</f>
        <v/>
      </c>
      <c r="E15" s="12" t="n"/>
    </row>
    <row r="16" ht="15.75" customHeight="1">
      <c r="A16" s="3" t="n">
        <v>2</v>
      </c>
      <c r="B16" s="10" t="inlineStr">
        <is>
          <t>Lápiz No. 2 (1 para entregar)</t>
        </is>
      </c>
      <c r="C16" s="61" t="n">
        <v>10</v>
      </c>
      <c r="D16" s="62">
        <f>+A16*C16</f>
        <v/>
      </c>
      <c r="E16" s="12" t="n"/>
    </row>
    <row r="17" ht="15.75" customHeight="1">
      <c r="A17" s="3" t="n">
        <v>2</v>
      </c>
      <c r="B17" s="4" t="inlineStr">
        <is>
          <t>Lápiz adhesivo tipo Pritt 22 g (1 para entregar)</t>
        </is>
      </c>
      <c r="C17" s="61" t="n">
        <v>40</v>
      </c>
      <c r="D17" s="62">
        <f>+A17*C17</f>
        <v/>
      </c>
      <c r="E17" s="12" t="n"/>
    </row>
    <row r="18" ht="15" customHeight="1">
      <c r="A18" s="3" t="n">
        <v>2</v>
      </c>
      <c r="B18" s="4" t="inlineStr">
        <is>
          <t>Marcatextos (1 para entregar)</t>
        </is>
      </c>
      <c r="C18" s="61" t="n">
        <v>35</v>
      </c>
      <c r="D18" s="62">
        <f>+A18*C18</f>
        <v/>
      </c>
      <c r="E18" s="12" t="n"/>
    </row>
    <row r="19" ht="14.25" customHeight="1">
      <c r="A19" s="3" t="n">
        <v>2</v>
      </c>
      <c r="B19" s="4" t="inlineStr">
        <is>
          <t>Bolígrafo de tinta roja (1 para entregar)</t>
        </is>
      </c>
      <c r="C19" s="61" t="n">
        <v>10</v>
      </c>
      <c r="D19" s="62">
        <f>+A19*C19</f>
        <v/>
      </c>
      <c r="E19" s="12" t="n"/>
    </row>
    <row r="20" ht="15.75" customHeight="1">
      <c r="A20" s="3" t="n">
        <v>2</v>
      </c>
      <c r="B20" s="4" t="inlineStr">
        <is>
          <t>Bolígrafo de tinta negra (1 para entregar)</t>
        </is>
      </c>
      <c r="C20" s="61" t="n">
        <v>10</v>
      </c>
      <c r="D20" s="62">
        <f>+A20*C20</f>
        <v/>
      </c>
      <c r="E20" s="12" t="n"/>
    </row>
    <row r="21" ht="15" customHeight="1">
      <c r="A21" s="3" t="n">
        <v>2</v>
      </c>
      <c r="B21" s="4" t="inlineStr">
        <is>
          <t>Bolígrafo de tinta azul (1 para entregar)</t>
        </is>
      </c>
      <c r="C21" s="61" t="n">
        <v>10</v>
      </c>
      <c r="D21" s="62">
        <f>+A21*C21</f>
        <v/>
      </c>
      <c r="E21" s="12" t="n"/>
    </row>
    <row r="22" ht="15.75" customHeight="1">
      <c r="A22" s="3" t="n">
        <v>1</v>
      </c>
      <c r="B22" s="4" t="inlineStr">
        <is>
          <t>Sacapuntas con depósito</t>
        </is>
      </c>
      <c r="C22" s="61" t="n">
        <v>35</v>
      </c>
      <c r="D22" s="62">
        <f>+A22*C22</f>
        <v/>
      </c>
      <c r="E22" s="12" t="n"/>
    </row>
    <row r="23" ht="16.5" customHeight="1">
      <c r="A23" s="3" t="n">
        <v>1</v>
      </c>
      <c r="B23" s="4" t="inlineStr">
        <is>
          <t>Tabla periódica actualizada Ed. Patria</t>
        </is>
      </c>
      <c r="C23" s="61" t="n">
        <v>20</v>
      </c>
      <c r="D23" s="62">
        <f>+A23*C23</f>
        <v/>
      </c>
      <c r="E23" s="12" t="n"/>
    </row>
    <row r="24" ht="16.5" customHeight="1">
      <c r="A24" s="3" t="n">
        <v>1</v>
      </c>
      <c r="B24" s="4" t="inlineStr">
        <is>
          <t>Tijeras de punta roma</t>
        </is>
      </c>
      <c r="C24" s="61" t="n">
        <v>30</v>
      </c>
      <c r="D24" s="62">
        <f>+A24*C24</f>
        <v/>
      </c>
      <c r="E24" s="12" t="n"/>
    </row>
    <row r="25" ht="15.75" customHeight="1">
      <c r="A25" s="7" t="n"/>
      <c r="B25" s="6" t="inlineStr">
        <is>
          <t>MATERIAL PARA ENTREGAR</t>
        </is>
      </c>
      <c r="C25" s="5" t="inlineStr">
        <is>
          <t>P. UNITARIO</t>
        </is>
      </c>
      <c r="D25" s="5" t="inlineStr">
        <is>
          <t>TOTAL</t>
        </is>
      </c>
      <c r="E25" s="5" t="inlineStr">
        <is>
          <t>TOTAL PEDIDO</t>
        </is>
      </c>
    </row>
    <row r="26">
      <c r="A26" s="3" t="n">
        <v>1</v>
      </c>
      <c r="B26" s="4" t="inlineStr">
        <is>
          <t>Paquete de 100 hojas de color  tamaño  carta</t>
        </is>
      </c>
      <c r="C26" s="80" t="n">
        <v>100</v>
      </c>
      <c r="D26" s="62">
        <f>+A26*C26</f>
        <v/>
      </c>
      <c r="E26" s="12" t="n"/>
    </row>
    <row r="27" ht="20.25" customHeight="1">
      <c r="A27" s="3" t="n">
        <v>1</v>
      </c>
      <c r="B27" s="10" t="inlineStr">
        <is>
          <t>Paquete de 100 hojas blancas  tamaño  carta</t>
        </is>
      </c>
      <c r="C27" s="80" t="n">
        <v>45</v>
      </c>
      <c r="D27" s="62">
        <f>+A27*C27</f>
        <v/>
      </c>
      <c r="E27" s="12" t="n"/>
    </row>
    <row r="28" ht="15.75" customHeight="1">
      <c r="A28" s="3" t="n">
        <v>1</v>
      </c>
      <c r="B28" s="10" t="inlineStr">
        <is>
          <t>Jabón líquido para manos 225 ml</t>
        </is>
      </c>
      <c r="C28" s="80" t="n">
        <v>60</v>
      </c>
      <c r="D28" s="62">
        <f>+A28*C28</f>
        <v/>
      </c>
      <c r="E28" s="12" t="n"/>
    </row>
    <row r="29" ht="19.5" customHeight="1">
      <c r="A29" s="3" t="n">
        <v>1</v>
      </c>
      <c r="B29" s="10" t="inlineStr">
        <is>
          <t>Paquete de conos para tomar agua</t>
        </is>
      </c>
      <c r="C29" s="80" t="n">
        <v>125</v>
      </c>
      <c r="D29" s="62">
        <f>+A29*C29</f>
        <v/>
      </c>
      <c r="E29" s="12" t="n"/>
    </row>
    <row r="30" ht="15" customHeight="1">
      <c r="A30" s="3" t="n">
        <v>1</v>
      </c>
      <c r="B30" s="10" t="inlineStr">
        <is>
          <t>Sobre amarillo tamaño carta</t>
        </is>
      </c>
      <c r="C30" s="80" t="n">
        <v>9</v>
      </c>
      <c r="D30" s="62">
        <f>+A30*C30</f>
        <v/>
      </c>
      <c r="E30" s="12" t="n"/>
    </row>
    <row r="31" ht="18" customHeight="1">
      <c r="A31" s="3" t="n">
        <v>5</v>
      </c>
      <c r="B31" s="10" t="inlineStr">
        <is>
          <t>Hoja de foami tamaño carta (Diferentes colores)</t>
        </is>
      </c>
      <c r="C31" s="85" t="n">
        <v>5</v>
      </c>
      <c r="D31" s="62">
        <f>+A31*C31</f>
        <v/>
      </c>
      <c r="E31" s="13" t="n"/>
    </row>
    <row r="32" ht="18" customHeight="1">
      <c r="A32" s="3" t="n">
        <v>3</v>
      </c>
      <c r="B32" s="10" t="inlineStr">
        <is>
          <t>Hoja de foami diamantado</t>
        </is>
      </c>
      <c r="C32" s="85" t="n">
        <v>15</v>
      </c>
      <c r="D32" s="62">
        <f>+A32*C32</f>
        <v/>
      </c>
      <c r="E32" s="13" t="n"/>
    </row>
    <row r="33" ht="18" customHeight="1">
      <c r="A33" s="3" t="n">
        <v>3</v>
      </c>
      <c r="B33" s="10" t="inlineStr">
        <is>
          <t>Paquete de Sanitas</t>
        </is>
      </c>
      <c r="C33" s="85" t="n">
        <v>50</v>
      </c>
      <c r="D33" s="62">
        <f>+A33*C33</f>
        <v/>
      </c>
      <c r="E33" s="13" t="n"/>
    </row>
    <row r="34" ht="18" customHeight="1">
      <c r="A34" s="3" t="n">
        <v>1</v>
      </c>
      <c r="B34" s="10" t="inlineStr">
        <is>
          <t>Cinta diurex gruesa</t>
        </is>
      </c>
      <c r="C34" s="85" t="n">
        <v>65</v>
      </c>
      <c r="D34" s="62">
        <f>+A34*C34</f>
        <v/>
      </c>
      <c r="E34" s="13" t="n"/>
    </row>
    <row r="35" ht="18" customHeight="1">
      <c r="A35" s="3" t="n">
        <v>1</v>
      </c>
      <c r="B35" s="10" t="inlineStr">
        <is>
          <t>Silicón frío 100 ml</t>
        </is>
      </c>
      <c r="C35" s="85" t="n">
        <v>40</v>
      </c>
      <c r="D35" s="62">
        <f>+A35*C35</f>
        <v/>
      </c>
      <c r="E35" s="13" t="n"/>
    </row>
    <row r="36" ht="21" customHeight="1">
      <c r="A36" s="3" t="n">
        <v>1</v>
      </c>
      <c r="B36" s="10" t="inlineStr">
        <is>
          <t>Paquete de 50 protectores de hojas para carpeta</t>
        </is>
      </c>
      <c r="C36" s="85" t="n">
        <v>120</v>
      </c>
      <c r="D36" s="62">
        <f>+A36*C36</f>
        <v/>
      </c>
      <c r="E36" s="13" t="n"/>
    </row>
    <row r="37" ht="20.25" customHeight="1">
      <c r="A37" s="3" t="n">
        <v>2</v>
      </c>
      <c r="B37" s="10" t="inlineStr">
        <is>
          <t>Sobre de plástico rígido</t>
        </is>
      </c>
      <c r="C37" s="85" t="n">
        <v>45</v>
      </c>
      <c r="D37" s="62">
        <f>+A37*C37</f>
        <v/>
      </c>
      <c r="E37" s="13" t="n"/>
    </row>
    <row r="38" ht="15" customHeight="1">
      <c r="A38" s="3" t="n">
        <v>1</v>
      </c>
      <c r="B38" s="10" t="inlineStr">
        <is>
          <t>Pliego de papel américa amarillo</t>
        </is>
      </c>
      <c r="C38" s="85" t="n">
        <v>30</v>
      </c>
      <c r="D38" s="62">
        <f>+A38*C38</f>
        <v/>
      </c>
      <c r="E38" s="13" t="n"/>
    </row>
    <row r="39" ht="15" customHeight="1">
      <c r="A39" s="3" t="n">
        <v>2</v>
      </c>
      <c r="B39" s="10" t="inlineStr">
        <is>
          <t>Pliego de papel lustre (Color a elegir)</t>
        </is>
      </c>
      <c r="C39" s="85" t="n">
        <v>15</v>
      </c>
      <c r="D39" s="62">
        <f>+A39*C39</f>
        <v/>
      </c>
      <c r="E39" s="13" t="n"/>
    </row>
    <row r="40" ht="15.75" customHeight="1">
      <c r="A40" s="3" t="n">
        <v>2</v>
      </c>
      <c r="B40" s="10" t="inlineStr">
        <is>
          <t>Pliego de papel kraft</t>
        </is>
      </c>
      <c r="C40" s="80" t="n">
        <v>15</v>
      </c>
      <c r="D40" s="62">
        <f>+A40*C40</f>
        <v/>
      </c>
      <c r="E40" s="12" t="n"/>
    </row>
    <row r="41" ht="16.5" customHeight="1">
      <c r="A41" s="3" t="n">
        <v>1</v>
      </c>
      <c r="B41" s="10" t="inlineStr">
        <is>
          <t>Cinta masking tape</t>
        </is>
      </c>
      <c r="C41" s="80" t="n">
        <v>45</v>
      </c>
      <c r="D41" s="62">
        <f>+A41*C41</f>
        <v/>
      </c>
      <c r="E41" s="12" t="n"/>
    </row>
    <row r="42" ht="16.5" customHeight="1">
      <c r="A42" s="3" t="n">
        <v>3</v>
      </c>
      <c r="B42" s="10" t="inlineStr">
        <is>
          <t>Fólders tamaño carta</t>
        </is>
      </c>
      <c r="C42" s="80" t="n">
        <v>7</v>
      </c>
      <c r="D42" s="62">
        <f>+A42*C42</f>
        <v/>
      </c>
      <c r="E42" s="12" t="n"/>
    </row>
    <row r="43" ht="16.5" customHeight="1">
      <c r="A43" s="3" t="n">
        <v>4</v>
      </c>
      <c r="B43" s="35" t="inlineStr">
        <is>
          <t>Plumón para pizarrón blanco (Negro, rojo, verde y azul)</t>
        </is>
      </c>
      <c r="C43" s="80" t="n">
        <v>35</v>
      </c>
      <c r="D43" s="62">
        <f>+A43*C43</f>
        <v/>
      </c>
      <c r="E43" s="12" t="n"/>
    </row>
    <row r="44" ht="16.5" customHeight="1">
      <c r="A44" s="9" t="n"/>
      <c r="B44" s="8" t="inlineStr">
        <is>
          <t>LIBROS</t>
        </is>
      </c>
      <c r="C44" s="5" t="inlineStr">
        <is>
          <t>P. UNITARIO</t>
        </is>
      </c>
      <c r="D44" s="5" t="inlineStr">
        <is>
          <t>TOTAL</t>
        </is>
      </c>
      <c r="E44" s="5" t="inlineStr">
        <is>
          <t>TOTAL PEDIDO</t>
        </is>
      </c>
    </row>
    <row r="45" ht="15" customHeight="1">
      <c r="A45" s="3" t="n">
        <v>1</v>
      </c>
      <c r="B45" s="2" t="inlineStr">
        <is>
          <t>Diccionario escolar de la lengua española Larousse</t>
        </is>
      </c>
      <c r="C45" s="61" t="n">
        <v>182</v>
      </c>
      <c r="D45" s="62">
        <f>+A45*C45</f>
        <v/>
      </c>
      <c r="E45" s="12" t="n"/>
    </row>
    <row r="46">
      <c r="A46" s="3" t="n">
        <v>1</v>
      </c>
      <c r="B46" s="2" t="inlineStr">
        <is>
          <t>Paquete Larousse</t>
        </is>
      </c>
      <c r="C46" s="61" t="n">
        <v>5280</v>
      </c>
      <c r="D46" s="62">
        <f>+A46*C46</f>
        <v/>
      </c>
      <c r="E46" s="12" t="n"/>
    </row>
    <row r="47">
      <c r="A47" s="3" t="n">
        <v>1</v>
      </c>
      <c r="B47" s="11" t="inlineStr">
        <is>
          <t>Constitución Política de los Estados Unidos Mexicanos</t>
        </is>
      </c>
      <c r="C47" s="61" t="n">
        <v>100</v>
      </c>
      <c r="D47" s="62">
        <f>+A47*C47</f>
        <v/>
      </c>
      <c r="E47" s="12" t="n"/>
    </row>
    <row r="48" ht="28" customHeight="1">
      <c r="A48" s="3" t="n">
        <v>1</v>
      </c>
      <c r="B48" s="2" t="inlineStr">
        <is>
          <t>Get Involved! A1+ Student's book ISBN: 9781380068750 (Básico)</t>
        </is>
      </c>
      <c r="C48" s="61" t="n">
        <v>1040</v>
      </c>
      <c r="D48" s="62">
        <f>+A48*C48</f>
        <v/>
      </c>
      <c r="E48" s="12" t="n"/>
    </row>
    <row r="49" ht="28" customHeight="1">
      <c r="A49" s="3" t="n">
        <v>1</v>
      </c>
      <c r="B49" s="2" t="inlineStr">
        <is>
          <t>Get Involved! B1 Student's book ISBN: 9781380068873 (Avanzado)</t>
        </is>
      </c>
      <c r="C49" s="61" t="n">
        <v>1040</v>
      </c>
      <c r="D49" s="62">
        <f>+A49*C49</f>
        <v/>
      </c>
      <c r="E49" s="12" t="n"/>
    </row>
    <row r="50">
      <c r="A50" s="48" t="inlineStr">
        <is>
          <t>TOTAL LIBROS EXCLUSIVAMENTE</t>
        </is>
      </c>
      <c r="B50" s="69" t="n"/>
      <c r="C50" s="73">
        <f>+SUM(D45:D48)</f>
        <v/>
      </c>
      <c r="D50" s="69" t="n"/>
      <c r="E50" s="71" t="n"/>
    </row>
    <row r="51">
      <c r="A51" s="48" t="inlineStr">
        <is>
          <t>TOTAL PALERIA Y LIBROS BÁSICO</t>
        </is>
      </c>
      <c r="B51" s="69" t="n"/>
      <c r="C51" s="84">
        <f>+SUM(D4:D48)</f>
        <v/>
      </c>
      <c r="D51" s="69" t="n"/>
      <c r="E51" s="72" t="n"/>
    </row>
    <row r="52">
      <c r="A52" s="48" t="inlineStr">
        <is>
          <t>TOTAL PAPELRIA Y LIBROS AVANZADO</t>
        </is>
      </c>
      <c r="B52" s="69" t="n"/>
      <c r="C52" s="73">
        <f>+SUM(D6:D47)+D49</f>
        <v/>
      </c>
      <c r="D52" s="69" t="n"/>
      <c r="E52" s="28" t="n"/>
    </row>
    <row r="53">
      <c r="A53" s="39" t="inlineStr">
        <is>
          <t>ALUMNO:</t>
        </is>
      </c>
      <c r="B53" s="69" t="n"/>
      <c r="C53" s="26" t="inlineStr">
        <is>
          <t>GRADO:</t>
        </is>
      </c>
      <c r="D53" s="71" t="n"/>
      <c r="E53" s="69" t="n"/>
    </row>
    <row r="54">
      <c r="A54" s="74" t="inlineStr">
        <is>
          <t>PADRE O TUTOR:</t>
        </is>
      </c>
      <c r="B54" s="75" t="n"/>
      <c r="C54" s="26" t="inlineStr">
        <is>
          <t>TELEFONO:</t>
        </is>
      </c>
      <c r="D54" s="71" t="n"/>
      <c r="E54" s="69" t="n"/>
    </row>
    <row r="55">
      <c r="A55" s="76" t="n"/>
      <c r="B55" s="77" t="n"/>
      <c r="C55" s="26" t="inlineStr">
        <is>
          <t>FECHA:</t>
        </is>
      </c>
      <c r="D55" s="71" t="n"/>
      <c r="E55" s="69" t="n"/>
    </row>
  </sheetData>
  <mergeCells count="16">
    <mergeCell ref="A4:E4"/>
    <mergeCell ref="D55:E55"/>
    <mergeCell ref="A52:B52"/>
    <mergeCell ref="A54:B55"/>
    <mergeCell ref="A2:E2"/>
    <mergeCell ref="A50:B50"/>
    <mergeCell ref="C51:D51"/>
    <mergeCell ref="A51:B51"/>
    <mergeCell ref="C50:D50"/>
    <mergeCell ref="A3:E3"/>
    <mergeCell ref="A1:E1"/>
    <mergeCell ref="C52:D52"/>
    <mergeCell ref="D54:E54"/>
    <mergeCell ref="E50:E51"/>
    <mergeCell ref="A53:B53"/>
    <mergeCell ref="D53:E53"/>
  </mergeCells>
  <pageMargins left="0.25" right="0.25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WinuE</dc:creator>
  <dcterms:created xsi:type="dcterms:W3CDTF">2015-06-30T14:24:18Z</dcterms:created>
  <dcterms:modified xsi:type="dcterms:W3CDTF">2026-10-13T18:00:05Z</dcterms:modified>
  <cp:lastModifiedBy>KAREN ARUMIL LIMA URANGA</cp:lastModifiedBy>
  <cp:lastPrinted>2026-04-27T18:31:20Z</cp:lastPrinted>
</cp:coreProperties>
</file>