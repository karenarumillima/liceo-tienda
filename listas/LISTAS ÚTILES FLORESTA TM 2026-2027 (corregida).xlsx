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40" tabRatio="600" firstSheet="0" activeTab="0" autoFilterDateGrouping="1"/>
  </bookViews>
  <sheets>
    <sheet name="SECUNDARIA 1" sheetId="1" state="visible" r:id="rId1"/>
    <sheet name="SECUNDARIA 2" sheetId="2" state="visible" r:id="rId2"/>
    <sheet name="SECUNDARI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5">
    <font>
      <name val="Calibri"/>
      <family val="2"/>
      <color theme="1"/>
      <sz val="11"/>
      <scheme val="minor"/>
    </font>
    <font>
      <name val="Candara"/>
      <family val="2"/>
      <sz val="8"/>
    </font>
    <font>
      <name val="Candara"/>
      <family val="2"/>
      <color theme="1"/>
      <sz val="8"/>
    </font>
    <font>
      <name val="Candara"/>
      <family val="2"/>
      <b val="1"/>
      <color theme="1"/>
      <sz val="9"/>
    </font>
    <font>
      <name val="Candara"/>
      <family val="2"/>
      <color theme="1"/>
      <sz val="9"/>
    </font>
    <font>
      <name val="Candara"/>
      <family val="2"/>
      <color theme="1"/>
      <sz val="11"/>
    </font>
    <font>
      <name val="Candara"/>
      <family val="2"/>
      <b val="1"/>
      <color theme="1"/>
      <sz val="11"/>
    </font>
    <font>
      <name val="Arial Narrow"/>
      <family val="2"/>
      <b val="1"/>
      <color theme="1"/>
      <sz val="9"/>
    </font>
    <font>
      <name val="Arial Narrow"/>
      <family val="2"/>
      <color theme="1"/>
      <sz val="9"/>
    </font>
    <font>
      <name val="Arial Narrow"/>
      <family val="2"/>
      <b val="1"/>
      <color theme="0"/>
      <sz val="9"/>
    </font>
    <font>
      <name val="Arial Narrow"/>
      <family val="2"/>
      <color theme="0"/>
      <sz val="9"/>
    </font>
    <font>
      <name val="Arial Narrow"/>
      <family val="2"/>
      <b val="1"/>
      <color theme="0"/>
      <sz val="8"/>
    </font>
    <font>
      <name val="Arial Narrow"/>
      <family val="2"/>
      <b val="1"/>
      <color theme="1"/>
      <sz val="11"/>
    </font>
    <font>
      <name val="Arial Narrow"/>
      <family val="2"/>
      <color theme="1"/>
      <sz val="11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color theme="0"/>
      <sz val="11"/>
    </font>
    <font>
      <name val="Arial"/>
      <family val="2"/>
      <b val="1"/>
      <color theme="1"/>
      <sz val="11"/>
    </font>
    <font>
      <name val="Arial"/>
      <family val="2"/>
      <b val="1"/>
      <sz val="11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Arial Narrow"/>
      <family val="2"/>
      <b val="1"/>
      <color theme="0"/>
      <sz val="10"/>
    </font>
  </fonts>
  <fills count="3">
    <fill>
      <patternFill/>
    </fill>
    <fill>
      <patternFill patternType="gray125"/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1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 shrinkToFit="1"/>
    </xf>
    <xf numFmtId="164" fontId="8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 shrinkToFit="1"/>
    </xf>
    <xf numFmtId="0" fontId="15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16" fillId="2" borderId="1" applyAlignment="1" pivotButton="0" quotePrefix="0" xfId="0">
      <alignment horizontal="center" vertical="center"/>
    </xf>
    <xf numFmtId="164" fontId="14" fillId="2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6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4" fillId="0" borderId="1" applyAlignment="1" pivotButton="0" quotePrefix="0" xfId="0">
      <alignment wrapText="1"/>
    </xf>
    <xf numFmtId="0" fontId="20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164" fontId="15" fillId="0" borderId="1" applyAlignment="1" pivotButton="0" quotePrefix="0" xfId="0">
      <alignment horizontal="center" vertical="center"/>
    </xf>
    <xf numFmtId="0" fontId="14" fillId="0" borderId="1" pivotButton="0" quotePrefix="0" xfId="0"/>
    <xf numFmtId="0" fontId="22" fillId="2" borderId="1" applyAlignment="1" pivotButton="0" quotePrefix="0" xfId="1">
      <alignment horizontal="center" vertical="center"/>
    </xf>
    <xf numFmtId="0" fontId="23" fillId="2" borderId="1" applyAlignment="1" pivotButton="0" quotePrefix="0" xfId="1">
      <alignment horizontal="center" vertical="center"/>
    </xf>
    <xf numFmtId="0" fontId="24" fillId="2" borderId="1" applyAlignment="1" pivotButton="0" quotePrefix="0" xfId="1">
      <alignment horizontal="center" vertical="center" wrapText="1" shrinkToFit="1"/>
    </xf>
    <xf numFmtId="164" fontId="2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19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 vertical="top"/>
    </xf>
    <xf numFmtId="0" fontId="0" fillId="0" borderId="2" pivotButton="0" quotePrefix="0" xfId="0"/>
    <xf numFmtId="0" fontId="1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tabSelected="1" zoomScale="99" zoomScaleNormal="100" workbookViewId="0">
      <selection activeCell="D49" sqref="D49"/>
    </sheetView>
  </sheetViews>
  <sheetFormatPr baseColWidth="10" defaultRowHeight="15"/>
  <cols>
    <col width="54" customWidth="1" min="2" max="2"/>
    <col width="10.33203125" customWidth="1" min="3" max="3"/>
    <col width="12" customWidth="1" min="4" max="4"/>
  </cols>
  <sheetData>
    <row r="1" ht="12" customHeight="1">
      <c r="A1" s="36" t="inlineStr">
        <is>
          <t>COLEGIO FLORESTA</t>
        </is>
      </c>
    </row>
    <row r="2" ht="12" customHeight="1">
      <c r="A2" s="36" t="inlineStr">
        <is>
          <t xml:space="preserve">LISTA DE ÚTILES </t>
        </is>
      </c>
    </row>
    <row r="3" ht="12" customHeight="1">
      <c r="A3" s="36" t="inlineStr">
        <is>
          <t>PRIMER  GRADO</t>
        </is>
      </c>
    </row>
    <row r="4" ht="11" customHeight="1">
      <c r="A4" s="37" t="inlineStr">
        <is>
          <t>Ciclo escolar 2026-2027</t>
        </is>
      </c>
      <c r="B4" s="45" t="n"/>
      <c r="C4" s="45" t="n"/>
      <c r="D4" s="45" t="n"/>
      <c r="E4" s="45" t="n"/>
    </row>
    <row r="5" ht="11" customHeight="1">
      <c r="A5" s="7" t="inlineStr">
        <is>
          <t>CANTIDAD</t>
        </is>
      </c>
      <c r="B5" s="7" t="inlineStr">
        <is>
          <t>MATERIAL DIARIO</t>
        </is>
      </c>
      <c r="C5" s="7" t="inlineStr">
        <is>
          <t>PRECIO UNITARIO</t>
        </is>
      </c>
      <c r="D5" s="7" t="inlineStr">
        <is>
          <t>PRECIO TOTAL</t>
        </is>
      </c>
      <c r="E5" s="7" t="inlineStr">
        <is>
          <t>PEDIDO</t>
        </is>
      </c>
    </row>
    <row r="6" ht="51" customHeight="1">
      <c r="A6" s="24" t="n">
        <v>3</v>
      </c>
      <c r="B6" s="25" t="inlineStr">
        <is>
          <t>Cuaderno profesional cuadro chico 100 hojas (Francés, educación física (comparten), innovación, socioemocional (comparten) e Historia)</t>
        </is>
      </c>
      <c r="C6" s="14" t="n">
        <v>150</v>
      </c>
      <c r="D6" s="14">
        <f>C6*A6</f>
        <v/>
      </c>
      <c r="E6" s="8" t="n"/>
    </row>
    <row r="7" ht="18.75" customHeight="1">
      <c r="A7" s="24" t="n">
        <v>1</v>
      </c>
      <c r="B7" s="25" t="inlineStr">
        <is>
          <t>Cuaderno profesional cuadro chico 100 hojas (Inglés)</t>
        </is>
      </c>
      <c r="C7" s="14" t="n">
        <v>150</v>
      </c>
      <c r="D7" s="14">
        <f>C7*A7</f>
        <v/>
      </c>
      <c r="E7" s="8" t="n"/>
    </row>
    <row r="8" ht="18.75" customHeight="1">
      <c r="A8" s="24" t="n">
        <v>1</v>
      </c>
      <c r="B8" s="25" t="inlineStr">
        <is>
          <t>Cuaderno profesional cuadro chico 100 hojas (Español)</t>
        </is>
      </c>
      <c r="C8" s="14" t="n">
        <v>150</v>
      </c>
      <c r="D8" s="14">
        <f>C8*A8</f>
        <v/>
      </c>
      <c r="E8" s="8" t="n"/>
    </row>
    <row r="9" ht="18.75" customHeight="1">
      <c r="A9" s="24" t="n">
        <v>1</v>
      </c>
      <c r="B9" s="25" t="inlineStr">
        <is>
          <t>Cuaderno profesional cuadro chico 100 hojas (Matemáticas)</t>
        </is>
      </c>
      <c r="C9" s="14" t="n">
        <v>150</v>
      </c>
      <c r="D9" s="14">
        <f>C9*A9</f>
        <v/>
      </c>
      <c r="E9" s="8" t="n"/>
    </row>
    <row r="10" ht="19.5" customHeight="1">
      <c r="A10" s="24" t="n">
        <v>1</v>
      </c>
      <c r="B10" s="25" t="inlineStr">
        <is>
          <t>Constitución Política de los Estados Unidos Mexicanos</t>
        </is>
      </c>
      <c r="C10" s="14" t="n">
        <v>100</v>
      </c>
      <c r="D10" s="14">
        <f>C10*A10</f>
        <v/>
      </c>
      <c r="E10" s="8" t="n"/>
    </row>
    <row r="11" ht="18.75" customHeight="1">
      <c r="A11" s="24" t="n">
        <v>1</v>
      </c>
      <c r="B11" s="25" t="inlineStr">
        <is>
          <t>Block de hojas milimétricas 50 hojas</t>
        </is>
      </c>
      <c r="C11" s="14" t="n">
        <v>35</v>
      </c>
      <c r="D11" s="14">
        <f>C11*A11</f>
        <v/>
      </c>
      <c r="E11" s="8" t="n"/>
    </row>
    <row r="12" ht="18.75" customHeight="1">
      <c r="A12" s="24" t="n">
        <v>1</v>
      </c>
      <c r="B12" s="25" t="inlineStr">
        <is>
          <t>Cuaderno profesional Norma para música</t>
        </is>
      </c>
      <c r="C12" s="14" t="n">
        <v>120</v>
      </c>
      <c r="D12" s="14">
        <f>C12*A12</f>
        <v/>
      </c>
      <c r="E12" s="8" t="n"/>
    </row>
    <row r="13" ht="14.25" customHeight="1">
      <c r="A13" s="26" t="n">
        <v>2</v>
      </c>
      <c r="B13" s="25" t="inlineStr">
        <is>
          <t>Lápiz No. 2</t>
        </is>
      </c>
      <c r="C13" s="14" t="n">
        <v>10</v>
      </c>
      <c r="D13" s="14">
        <f>C13*A13</f>
        <v/>
      </c>
      <c r="E13" s="8" t="n"/>
    </row>
    <row r="14" ht="16.5" customHeight="1">
      <c r="A14" s="26" t="n">
        <v>1</v>
      </c>
      <c r="B14" s="25" t="inlineStr">
        <is>
          <t xml:space="preserve">Caja de 12 colores </t>
        </is>
      </c>
      <c r="C14" s="14" t="n">
        <v>150</v>
      </c>
      <c r="D14" s="14">
        <f>C14*A14</f>
        <v/>
      </c>
      <c r="E14" s="8" t="n"/>
    </row>
    <row r="15" ht="18" customHeight="1">
      <c r="A15" s="26" t="n">
        <v>1</v>
      </c>
      <c r="B15" s="25" t="inlineStr">
        <is>
          <t>Tijeras de punta roma</t>
        </is>
      </c>
      <c r="C15" s="14" t="n">
        <v>30</v>
      </c>
      <c r="D15" s="14">
        <f>C15*A15</f>
        <v/>
      </c>
      <c r="E15" s="8" t="n"/>
    </row>
    <row r="16">
      <c r="A16" s="26" t="n">
        <v>1</v>
      </c>
      <c r="B16" s="25" t="inlineStr">
        <is>
          <t>Goma de migajón</t>
        </is>
      </c>
      <c r="C16" s="14" t="n">
        <v>10</v>
      </c>
      <c r="D16" s="14">
        <f>C16*A16</f>
        <v/>
      </c>
      <c r="E16" s="8" t="n"/>
    </row>
    <row r="17">
      <c r="A17" s="26" t="n">
        <v>1</v>
      </c>
      <c r="B17" s="25" t="inlineStr">
        <is>
          <t>Sacapuntas con depósito</t>
        </is>
      </c>
      <c r="C17" s="14" t="n">
        <v>35</v>
      </c>
      <c r="D17" s="14">
        <f>C17*A17</f>
        <v/>
      </c>
      <c r="E17" s="8" t="n"/>
    </row>
    <row r="18">
      <c r="A18" s="26" t="n">
        <v>1</v>
      </c>
      <c r="B18" s="25" t="inlineStr">
        <is>
          <t xml:space="preserve">Bata  blanca  de  algodón </t>
        </is>
      </c>
      <c r="C18" s="14" t="n">
        <v>300</v>
      </c>
      <c r="D18" s="14">
        <f>C18*A18</f>
        <v/>
      </c>
      <c r="E18" s="8" t="n"/>
    </row>
    <row r="19" ht="18" customHeight="1">
      <c r="A19" s="26" t="n">
        <v>1</v>
      </c>
      <c r="B19" s="25" t="inlineStr">
        <is>
          <t>Melódica</t>
        </is>
      </c>
      <c r="C19" s="14" t="n">
        <v>280</v>
      </c>
      <c r="D19" s="14">
        <f>C19*A19</f>
        <v/>
      </c>
      <c r="E19" s="8" t="n"/>
    </row>
    <row r="20" ht="18.75" customHeight="1">
      <c r="A20" s="26" t="n">
        <v>1</v>
      </c>
      <c r="B20" s="25" t="inlineStr">
        <is>
          <t xml:space="preserve">Juego de geometría  con compás de precisión </t>
        </is>
      </c>
      <c r="C20" s="14" t="n">
        <v>135</v>
      </c>
      <c r="D20" s="14">
        <f>C20*A20</f>
        <v/>
      </c>
      <c r="E20" s="8" t="n"/>
    </row>
    <row r="21">
      <c r="A21" s="26" t="n">
        <v>1</v>
      </c>
      <c r="B21" s="25" t="inlineStr">
        <is>
          <t>Bolígrafo de tinta negra</t>
        </is>
      </c>
      <c r="C21" s="14" t="n">
        <v>10</v>
      </c>
      <c r="D21" s="14">
        <f>C21*A21</f>
        <v/>
      </c>
      <c r="E21" s="8" t="n"/>
    </row>
    <row r="22">
      <c r="A22" s="26" t="n">
        <v>1</v>
      </c>
      <c r="B22" s="25" t="inlineStr">
        <is>
          <t>Bolígrafo de tinta azul</t>
        </is>
      </c>
      <c r="C22" s="14" t="n">
        <v>10</v>
      </c>
      <c r="D22" s="14">
        <f>C22*A22</f>
        <v/>
      </c>
      <c r="E22" s="8" t="n"/>
    </row>
    <row r="23" ht="19.5" customHeight="1">
      <c r="A23" s="26" t="n">
        <v>1</v>
      </c>
      <c r="B23" s="25" t="inlineStr">
        <is>
          <t>Marcatextos</t>
        </is>
      </c>
      <c r="C23" s="14" t="n">
        <v>35</v>
      </c>
      <c r="D23" s="14">
        <f>C23*A23</f>
        <v/>
      </c>
      <c r="E23" s="8" t="n"/>
    </row>
    <row r="24">
      <c r="A24" s="26" t="n">
        <v>1</v>
      </c>
      <c r="B24" s="25" t="inlineStr">
        <is>
          <t>Bolígrafo de tinta roja</t>
        </is>
      </c>
      <c r="C24" s="14" t="n">
        <v>10</v>
      </c>
      <c r="D24" s="14">
        <f>C24*A24</f>
        <v/>
      </c>
      <c r="E24" s="8" t="n"/>
    </row>
    <row r="25" ht="21" customHeight="1">
      <c r="A25" s="26" t="n">
        <v>1</v>
      </c>
      <c r="B25" s="25" t="inlineStr">
        <is>
          <t>Libreta de tareas</t>
        </is>
      </c>
      <c r="C25" s="14" t="n">
        <v>210</v>
      </c>
      <c r="D25" s="14">
        <f>C25*A25</f>
        <v/>
      </c>
      <c r="E25" s="8" t="n"/>
    </row>
    <row r="26" ht="16.5" customHeight="1">
      <c r="A26" s="26" t="n">
        <v>1</v>
      </c>
      <c r="B26" s="25" t="inlineStr">
        <is>
          <t>Lápiz adhesivo tipo Pritt 22 g</t>
        </is>
      </c>
      <c r="C26" s="14" t="n">
        <v>40</v>
      </c>
      <c r="D26" s="14">
        <f>C26*A26</f>
        <v/>
      </c>
      <c r="E26" s="8" t="n"/>
    </row>
    <row r="27" ht="18.75" customHeight="1">
      <c r="A27" s="26" t="n">
        <v>1</v>
      </c>
      <c r="B27" s="25" t="inlineStr">
        <is>
          <t>Corrector de cinta</t>
        </is>
      </c>
      <c r="C27" s="14" t="n">
        <v>60</v>
      </c>
      <c r="D27" s="14">
        <f>C27*A27</f>
        <v/>
      </c>
      <c r="E27" s="8" t="n"/>
    </row>
    <row r="28" ht="18.75" customHeight="1">
      <c r="A28" s="26" t="n">
        <v>1</v>
      </c>
      <c r="B28" s="25" t="inlineStr">
        <is>
          <t>Fólder de plástico</t>
        </is>
      </c>
      <c r="C28" s="14" t="n">
        <v>20</v>
      </c>
      <c r="D28" s="14">
        <f>C28*A28</f>
        <v/>
      </c>
      <c r="E28" s="8" t="n"/>
    </row>
    <row r="29" ht="18.75" customHeight="1">
      <c r="A29" s="26" t="n">
        <v>1</v>
      </c>
      <c r="B29" s="25" t="inlineStr">
        <is>
          <t>Block de papel albanene</t>
        </is>
      </c>
      <c r="C29" s="14" t="n">
        <v>90</v>
      </c>
      <c r="D29" s="14">
        <f>C29*A29</f>
        <v/>
      </c>
      <c r="E29" s="8" t="n"/>
    </row>
    <row r="30">
      <c r="A30" s="26" t="n">
        <v>2</v>
      </c>
      <c r="B30" s="25" t="inlineStr">
        <is>
          <t>Bolígrafo de tinta rosa</t>
        </is>
      </c>
      <c r="C30" s="14" t="n">
        <v>10</v>
      </c>
      <c r="D30" s="14">
        <f>C30*A30</f>
        <v/>
      </c>
      <c r="E30" s="8" t="n"/>
    </row>
    <row r="31" ht="17.25" customHeight="1">
      <c r="A31" s="26" t="n">
        <v>3</v>
      </c>
      <c r="B31" s="25" t="inlineStr">
        <is>
          <t>Bolígrafo de tinta negra</t>
        </is>
      </c>
      <c r="C31" s="14" t="n">
        <v>10</v>
      </c>
      <c r="D31" s="14">
        <f>C31*A31</f>
        <v/>
      </c>
      <c r="E31" s="8" t="n"/>
    </row>
    <row r="32" ht="14.25" customHeight="1">
      <c r="A32" s="26" t="n">
        <v>2</v>
      </c>
      <c r="B32" s="25" t="inlineStr">
        <is>
          <t>Bolígrafo de tinta azul</t>
        </is>
      </c>
      <c r="C32" s="14" t="n">
        <v>10</v>
      </c>
      <c r="D32" s="14">
        <f>C32*A32</f>
        <v/>
      </c>
      <c r="E32" s="8" t="n"/>
    </row>
    <row r="33" ht="21" customHeight="1">
      <c r="A33" s="30" t="n"/>
      <c r="B33" s="31" t="inlineStr">
        <is>
          <t>MATERIAL PARA ENTREGAR EN EL COLEGIO</t>
        </is>
      </c>
      <c r="C33" s="32" t="inlineStr">
        <is>
          <t>P. UNITARIO</t>
        </is>
      </c>
      <c r="D33" s="32" t="inlineStr">
        <is>
          <t>TOTAL</t>
        </is>
      </c>
      <c r="E33" s="32" t="inlineStr">
        <is>
          <t>TOTAL PEDIDO</t>
        </is>
      </c>
    </row>
    <row r="34" ht="21.75" customHeight="1">
      <c r="A34" s="26" t="n">
        <v>4</v>
      </c>
      <c r="B34" s="25" t="inlineStr">
        <is>
          <t>Plumón para pizarrón blanco (Negro, rojo, verde y azul)</t>
        </is>
      </c>
      <c r="C34" s="14" t="n">
        <v>35</v>
      </c>
      <c r="D34" s="14">
        <f>C34*A34</f>
        <v/>
      </c>
      <c r="E34" s="8" t="n"/>
    </row>
    <row r="35">
      <c r="A35" s="26" t="n">
        <v>1</v>
      </c>
      <c r="B35" s="25" t="inlineStr">
        <is>
          <t>Lápiz adhesivo tipo Pritt 42 g</t>
        </is>
      </c>
      <c r="C35" s="14" t="n">
        <v>75</v>
      </c>
      <c r="D35" s="14">
        <f>C35*A35</f>
        <v/>
      </c>
      <c r="E35" s="8" t="n"/>
    </row>
    <row r="36" ht="16.5" customHeight="1">
      <c r="A36" s="26" t="n">
        <v>2</v>
      </c>
      <c r="B36" s="25" t="inlineStr">
        <is>
          <t>Nano tape</t>
        </is>
      </c>
      <c r="C36" s="14" t="n">
        <v>80</v>
      </c>
      <c r="D36" s="14">
        <f>C36*A36</f>
        <v/>
      </c>
      <c r="E36" s="8" t="n"/>
    </row>
    <row r="37" ht="16.5" customHeight="1">
      <c r="A37" s="26" t="n">
        <v>5</v>
      </c>
      <c r="B37" s="25" t="inlineStr">
        <is>
          <t>Fólder tamaño carta beige</t>
        </is>
      </c>
      <c r="C37" s="14" t="n">
        <v>7</v>
      </c>
      <c r="D37" s="14">
        <f>C37*A37</f>
        <v/>
      </c>
      <c r="E37" s="8" t="n"/>
    </row>
    <row r="38" ht="16.5" customHeight="1">
      <c r="A38" s="26" t="n">
        <v>1</v>
      </c>
      <c r="B38" s="25" t="inlineStr">
        <is>
          <t>Paquete de 300 hojas blancas tamaño carta</t>
        </is>
      </c>
      <c r="C38" s="14" t="n">
        <v>135</v>
      </c>
      <c r="D38" s="14">
        <f>C38*A38</f>
        <v/>
      </c>
      <c r="E38" s="8" t="n"/>
    </row>
    <row r="39" ht="16.5" customHeight="1">
      <c r="A39" s="26" t="n">
        <v>1</v>
      </c>
      <c r="B39" s="25" t="inlineStr">
        <is>
          <t>Bote de pintura Vinci (Cualquier color)</t>
        </is>
      </c>
      <c r="C39" s="14" t="n">
        <v>25</v>
      </c>
      <c r="D39" s="14">
        <f>C39*A39</f>
        <v/>
      </c>
      <c r="E39" s="8" t="n"/>
    </row>
    <row r="40" ht="16.5" customHeight="1">
      <c r="A40" s="26" t="n">
        <v>5</v>
      </c>
      <c r="B40" s="25" t="inlineStr">
        <is>
          <t>Cartulina blanca</t>
        </is>
      </c>
      <c r="C40" s="14" t="n">
        <v>10</v>
      </c>
      <c r="D40" s="14">
        <f>C40*A40</f>
        <v/>
      </c>
      <c r="E40" s="8" t="n"/>
    </row>
    <row r="41" ht="16.5" customHeight="1">
      <c r="A41" s="26" t="n">
        <v>2</v>
      </c>
      <c r="B41" s="25" t="inlineStr">
        <is>
          <t>Pliego de mica</t>
        </is>
      </c>
      <c r="C41" s="14" t="n">
        <v>30</v>
      </c>
      <c r="D41" s="14">
        <f>C41*A41</f>
        <v/>
      </c>
      <c r="E41" s="8" t="n"/>
    </row>
    <row r="42">
      <c r="A42" s="26" t="n">
        <v>5</v>
      </c>
      <c r="B42" s="25" t="inlineStr">
        <is>
          <t>Hoja de foami tamaño carta (Diferentes colores)</t>
        </is>
      </c>
      <c r="C42" s="14" t="n">
        <v>5</v>
      </c>
      <c r="D42" s="14">
        <f>C42*A42</f>
        <v/>
      </c>
      <c r="E42" s="8" t="n"/>
    </row>
    <row r="43">
      <c r="A43" s="26" t="n">
        <v>3</v>
      </c>
      <c r="B43" s="25" t="inlineStr">
        <is>
          <t>Hoja de foami diamantado</t>
        </is>
      </c>
      <c r="C43" s="14" t="n">
        <v>15</v>
      </c>
      <c r="D43" s="14">
        <f>C43*A43</f>
        <v/>
      </c>
      <c r="E43" s="8" t="n"/>
    </row>
    <row r="44" ht="17.25" customHeight="1">
      <c r="A44" s="26" t="n">
        <v>1</v>
      </c>
      <c r="B44" s="25" t="inlineStr">
        <is>
          <t>Marcatextos</t>
        </is>
      </c>
      <c r="C44" s="14" t="n">
        <v>35</v>
      </c>
      <c r="D44" s="14">
        <f>C44*A44</f>
        <v/>
      </c>
      <c r="E44" s="8" t="n"/>
    </row>
    <row r="45" ht="13.5" customHeight="1">
      <c r="A45" s="26" t="n">
        <v>1</v>
      </c>
      <c r="B45" s="25" t="inlineStr">
        <is>
          <t>Jabón líquido para manos 225 ml</t>
        </is>
      </c>
      <c r="C45" s="14" t="n">
        <v>60</v>
      </c>
      <c r="D45" s="14">
        <f>C45*A45</f>
        <v/>
      </c>
      <c r="E45" s="8" t="n"/>
    </row>
    <row r="46" ht="13.5" customHeight="1">
      <c r="A46" s="26" t="n">
        <v>3</v>
      </c>
      <c r="B46" s="25" t="inlineStr">
        <is>
          <t>Sobre amarillo tamaño carta</t>
        </is>
      </c>
      <c r="C46" s="14" t="n">
        <v>9</v>
      </c>
      <c r="D46" s="14">
        <f>C46*A46</f>
        <v/>
      </c>
      <c r="E46" s="8" t="n"/>
    </row>
    <row r="47" ht="17.25" customHeight="1">
      <c r="A47" s="26" t="n">
        <v>1</v>
      </c>
      <c r="B47" s="25" t="inlineStr">
        <is>
          <t xml:space="preserve">Paquete de conos para tomar agua </t>
        </is>
      </c>
      <c r="C47" s="14" t="n">
        <v>125</v>
      </c>
      <c r="D47" s="14">
        <f>C47*A47</f>
        <v/>
      </c>
      <c r="E47" s="8" t="n"/>
    </row>
    <row r="48" ht="15" customHeight="1">
      <c r="A48" s="26" t="n">
        <v>3</v>
      </c>
      <c r="B48" s="25" t="inlineStr">
        <is>
          <t>Paquete de Sanitas</t>
        </is>
      </c>
      <c r="C48" s="14" t="n">
        <v>50</v>
      </c>
      <c r="D48" s="14">
        <f>C48*A48</f>
        <v/>
      </c>
      <c r="E48" s="8" t="n"/>
    </row>
    <row r="49" ht="13.5" customHeight="1">
      <c r="A49" s="13" t="n">
        <v>1</v>
      </c>
      <c r="B49" s="25" t="inlineStr">
        <is>
          <t>Silicón frío 100 ml</t>
        </is>
      </c>
      <c r="C49" s="14" t="n">
        <v>40</v>
      </c>
      <c r="D49" s="14">
        <f>C49*A49</f>
        <v/>
      </c>
      <c r="E49" s="8" t="n"/>
    </row>
    <row r="50" ht="11.25" customHeight="1">
      <c r="A50" s="9" t="n"/>
      <c r="B50" s="10" t="inlineStr">
        <is>
          <t>LIBROS</t>
        </is>
      </c>
      <c r="C50" s="15" t="n"/>
      <c r="D50" s="33" t="inlineStr">
        <is>
          <t>TOTAL</t>
        </is>
      </c>
      <c r="E50" s="11" t="n"/>
    </row>
    <row r="51" ht="16" customHeight="1">
      <c r="A51" s="22" t="n">
        <v>1</v>
      </c>
      <c r="B51" s="23" t="inlineStr">
        <is>
          <t>Paquete Larousse</t>
        </is>
      </c>
      <c r="C51" s="14" t="n">
        <v>5280</v>
      </c>
      <c r="D51" s="14">
        <f>C51*A51</f>
        <v/>
      </c>
      <c r="E51" s="8" t="n"/>
    </row>
    <row r="52" ht="31" customHeight="1">
      <c r="A52" s="22" t="n">
        <v>1</v>
      </c>
      <c r="B52" s="23" t="inlineStr">
        <is>
          <t>Gateway to the World A1+ Student's book ISBN: 9781380042309 (Básico)</t>
        </is>
      </c>
      <c r="C52" s="14" t="n">
        <v>1145</v>
      </c>
      <c r="D52" s="14">
        <f>C52*A52</f>
        <v/>
      </c>
      <c r="E52" s="8" t="n"/>
    </row>
    <row r="53" ht="31" customHeight="1">
      <c r="A53" s="22" t="n">
        <v>1</v>
      </c>
      <c r="B53" s="23" t="inlineStr">
        <is>
          <t>Gateway to the World A2 Student's book ISBN: 9781380042507 (Avanzado)</t>
        </is>
      </c>
      <c r="C53" s="14" t="n">
        <v>1145</v>
      </c>
      <c r="D53" s="14">
        <f>C53*A53</f>
        <v/>
      </c>
      <c r="E53" s="8" t="n"/>
    </row>
    <row r="54" ht="15" customHeight="1">
      <c r="A54" s="46" t="inlineStr">
        <is>
          <t>Total solo libros</t>
        </is>
      </c>
      <c r="B54" s="47" t="n"/>
      <c r="C54" s="48" t="n"/>
      <c r="D54" s="17">
        <f>SUM(D51:D52)</f>
        <v/>
      </c>
      <c r="E54" s="8" t="n"/>
    </row>
    <row r="55">
      <c r="A55" s="46" t="inlineStr">
        <is>
          <t>Total con papeleria y libros básico</t>
        </is>
      </c>
      <c r="B55" s="47" t="n"/>
      <c r="C55" s="48" t="n"/>
      <c r="D55" s="17">
        <f>SUM(D6:D52)</f>
        <v/>
      </c>
      <c r="E55" s="8" t="n"/>
    </row>
    <row r="56">
      <c r="A56" s="46" t="inlineStr">
        <is>
          <t xml:space="preserve">Total con papeleria y libros avanzado </t>
        </is>
      </c>
      <c r="B56" s="47" t="n"/>
      <c r="C56" s="48" t="n"/>
      <c r="D56" s="17">
        <f>SUM(D6:D51)+D53</f>
        <v/>
      </c>
      <c r="E56" s="8" t="n"/>
    </row>
    <row r="57">
      <c r="A57" s="34" t="inlineStr">
        <is>
          <t>NOTA:  TODOS  LOS  LIBROS  DE  TEXTO  SE  FORRAN  SOLO  CON  PLÁSTICO  TRANSPARENTE  Y  ETIQUETA  CON  NOMBRE</t>
        </is>
      </c>
      <c r="B57" s="47" t="n"/>
      <c r="C57" s="47" t="n"/>
      <c r="D57" s="47" t="n"/>
      <c r="E57" s="48" t="n"/>
    </row>
    <row r="58">
      <c r="A58" s="35" t="inlineStr">
        <is>
          <t xml:space="preserve">                  TODOS  LOS  CUADERNOS  SE  FORRAN  DE  COLOR  AMARILLO</t>
        </is>
      </c>
      <c r="B58" s="47" t="n"/>
      <c r="C58" s="47" t="n"/>
      <c r="D58" s="47" t="n"/>
      <c r="E58" s="48" t="n"/>
    </row>
  </sheetData>
  <mergeCells count="9">
    <mergeCell ref="A4:E4"/>
    <mergeCell ref="A57:E57"/>
    <mergeCell ref="A2:E2"/>
    <mergeCell ref="A56:C56"/>
    <mergeCell ref="A1:E1"/>
    <mergeCell ref="A55:C55"/>
    <mergeCell ref="A58:E58"/>
    <mergeCell ref="A54:C54"/>
    <mergeCell ref="A3:E3"/>
  </mergeCells>
  <pageMargins left="0.7" right="0.7" top="0.75" bottom="0.75" header="0.3" footer="0.3"/>
  <pageSetup orientation="portrait" paperSize="9" scale="76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topLeftCell="A25" workbookViewId="0">
      <selection activeCell="D43" sqref="D43"/>
    </sheetView>
  </sheetViews>
  <sheetFormatPr baseColWidth="10" defaultRowHeight="15"/>
  <cols>
    <col width="10.33203125" customWidth="1" min="1" max="1"/>
    <col width="57" customWidth="1" min="2" max="2"/>
    <col width="10.5" customWidth="1" min="3" max="3"/>
  </cols>
  <sheetData>
    <row r="1" ht="14" customFormat="1" customHeight="1" s="19">
      <c r="A1" s="36" t="inlineStr">
        <is>
          <t>COLEGIO FLORESTA</t>
        </is>
      </c>
    </row>
    <row r="2" ht="14" customFormat="1" customHeight="1" s="19">
      <c r="A2" s="36" t="inlineStr">
        <is>
          <t xml:space="preserve">LISTA DE ÚTILES </t>
        </is>
      </c>
    </row>
    <row r="3" ht="14" customFormat="1" customHeight="1" s="19">
      <c r="A3" s="36" t="inlineStr">
        <is>
          <t>SEGUNDO  GRADO</t>
        </is>
      </c>
    </row>
    <row r="4" ht="14" customFormat="1" customHeight="1" s="19">
      <c r="A4" s="37" t="inlineStr">
        <is>
          <t>CICLO ESCOLAR 2026-2027</t>
        </is>
      </c>
      <c r="B4" s="45" t="n"/>
      <c r="C4" s="45" t="n"/>
      <c r="D4" s="45" t="n"/>
      <c r="E4" s="45" t="n"/>
    </row>
    <row r="5" ht="19.5" customHeight="1">
      <c r="A5" s="12" t="inlineStr">
        <is>
          <t>CANTIDAD</t>
        </is>
      </c>
      <c r="B5" s="12" t="inlineStr">
        <is>
          <t>MATERIAL DIARIO</t>
        </is>
      </c>
      <c r="C5" s="12" t="inlineStr">
        <is>
          <t>PRECIO UNITARIO</t>
        </is>
      </c>
      <c r="D5" s="12" t="inlineStr">
        <is>
          <t>PRECIO TOTAL</t>
        </is>
      </c>
      <c r="E5" s="12" t="inlineStr">
        <is>
          <t>PEDIDO</t>
        </is>
      </c>
    </row>
    <row r="6" ht="51.75" customHeight="1">
      <c r="A6" s="24" t="n">
        <v>3</v>
      </c>
      <c r="B6" s="25" t="inlineStr">
        <is>
          <t>Cuaderno profesional cuadro chico 100 hojas (Francés, educación física (comparten), innovación, socioemocional (comparten) e Historia)</t>
        </is>
      </c>
      <c r="C6" s="14" t="n">
        <v>150</v>
      </c>
      <c r="D6" s="14">
        <f>C6*A6</f>
        <v/>
      </c>
      <c r="E6" s="14" t="n"/>
      <c r="F6" s="1" t="n"/>
      <c r="G6" s="2" t="n"/>
      <c r="H6" s="3" t="n"/>
    </row>
    <row r="7" ht="19.5" customHeight="1">
      <c r="A7" s="24" t="n">
        <v>1</v>
      </c>
      <c r="B7" s="25" t="inlineStr">
        <is>
          <t>Cuaderno profesional cuadro chico 100 hojas (Inglés)</t>
        </is>
      </c>
      <c r="C7" s="14" t="n">
        <v>150</v>
      </c>
      <c r="D7" s="14">
        <f>C7*A7</f>
        <v/>
      </c>
      <c r="E7" s="14" t="n"/>
      <c r="F7" s="1" t="n"/>
      <c r="G7" s="2" t="n"/>
      <c r="H7" s="3" t="n"/>
    </row>
    <row r="8" ht="19.5" customHeight="1">
      <c r="A8" s="24" t="n">
        <v>1</v>
      </c>
      <c r="B8" s="25" t="inlineStr">
        <is>
          <t>Cuaderno profesional cuadro chico 100 hojas (Español)</t>
        </is>
      </c>
      <c r="C8" s="14" t="n">
        <v>150</v>
      </c>
      <c r="D8" s="14">
        <f>C8*A8</f>
        <v/>
      </c>
      <c r="E8" s="14" t="n"/>
      <c r="F8" s="1" t="n"/>
      <c r="G8" s="2" t="n"/>
      <c r="H8" s="3" t="n"/>
    </row>
    <row r="9" ht="19.5" customHeight="1">
      <c r="A9" s="24" t="n">
        <v>1</v>
      </c>
      <c r="B9" s="25" t="inlineStr">
        <is>
          <t>Cuaderno profesional cuadro chico 100 hojas (Matemáticas)</t>
        </is>
      </c>
      <c r="C9" s="14" t="n">
        <v>150</v>
      </c>
      <c r="D9" s="14">
        <f>C9*A9</f>
        <v/>
      </c>
      <c r="E9" s="14" t="n"/>
      <c r="F9" s="1" t="n"/>
      <c r="G9" s="2" t="n"/>
      <c r="H9" s="3" t="n"/>
    </row>
    <row r="10" ht="15" customHeight="1">
      <c r="A10" s="24" t="n">
        <v>1</v>
      </c>
      <c r="B10" s="25" t="inlineStr">
        <is>
          <t>Cuaderno profesional Norma para música</t>
        </is>
      </c>
      <c r="C10" s="14" t="n">
        <v>120</v>
      </c>
      <c r="D10" s="14">
        <f>C10*A10</f>
        <v/>
      </c>
      <c r="E10" s="14" t="n"/>
      <c r="F10" s="1" t="n"/>
      <c r="G10" s="2" t="n"/>
      <c r="H10" s="3" t="n"/>
    </row>
    <row r="11" ht="15" customHeight="1">
      <c r="A11" s="24" t="n">
        <v>1</v>
      </c>
      <c r="B11" s="25" t="inlineStr">
        <is>
          <t>Constitución Política de los Estados Unidos Mexicanos</t>
        </is>
      </c>
      <c r="C11" s="14" t="n">
        <v>100</v>
      </c>
      <c r="D11" s="14">
        <f>C11*A11</f>
        <v/>
      </c>
      <c r="E11" s="14" t="n"/>
      <c r="F11" s="1" t="n"/>
      <c r="G11" s="2" t="n"/>
      <c r="H11" s="3" t="n"/>
    </row>
    <row r="12" ht="14.25" customHeight="1">
      <c r="A12" s="24" t="n">
        <v>1</v>
      </c>
      <c r="B12" s="25" t="inlineStr">
        <is>
          <t>Lápiz adhesivo tipo Pritt 22 g</t>
        </is>
      </c>
      <c r="C12" s="14" t="n">
        <v>40</v>
      </c>
      <c r="D12" s="14">
        <f>C12*A12</f>
        <v/>
      </c>
      <c r="E12" s="14" t="n"/>
      <c r="F12" s="1" t="n"/>
      <c r="G12" s="2" t="n"/>
      <c r="H12" s="3" t="n"/>
    </row>
    <row r="13">
      <c r="A13" s="24" t="n">
        <v>2</v>
      </c>
      <c r="B13" s="25" t="inlineStr">
        <is>
          <t>Lápiz No. 2</t>
        </is>
      </c>
      <c r="C13" s="14" t="n">
        <v>10</v>
      </c>
      <c r="D13" s="14">
        <f>C13*A13</f>
        <v/>
      </c>
      <c r="E13" s="14" t="n"/>
      <c r="F13" s="1" t="n"/>
      <c r="G13" s="2" t="n"/>
      <c r="H13" s="3" t="n"/>
    </row>
    <row r="14" ht="15" customHeight="1">
      <c r="A14" s="24" t="n">
        <v>1</v>
      </c>
      <c r="B14" s="25" t="inlineStr">
        <is>
          <t xml:space="preserve">Caja de 12 colores </t>
        </is>
      </c>
      <c r="C14" s="14" t="n">
        <v>150</v>
      </c>
      <c r="D14" s="14">
        <f>C14*A14</f>
        <v/>
      </c>
      <c r="E14" s="14" t="n"/>
      <c r="F14" s="1" t="n"/>
      <c r="G14" s="2" t="n"/>
      <c r="H14" s="3" t="n"/>
    </row>
    <row r="15" ht="15" customHeight="1">
      <c r="A15" s="24" t="n">
        <v>1</v>
      </c>
      <c r="B15" s="25" t="inlineStr">
        <is>
          <t>Tijeras de punta roma</t>
        </is>
      </c>
      <c r="C15" s="14" t="n">
        <v>30</v>
      </c>
      <c r="D15" s="14">
        <f>C15*A15</f>
        <v/>
      </c>
      <c r="E15" s="14" t="n"/>
      <c r="F15" s="1" t="n"/>
      <c r="G15" s="2" t="n"/>
      <c r="H15" s="3" t="n"/>
    </row>
    <row r="16" ht="15" customHeight="1">
      <c r="A16" s="24" t="n">
        <v>1</v>
      </c>
      <c r="B16" s="25" t="inlineStr">
        <is>
          <t>Goma de migajón</t>
        </is>
      </c>
      <c r="C16" s="14" t="n">
        <v>10</v>
      </c>
      <c r="D16" s="14">
        <f>C16*A16</f>
        <v/>
      </c>
      <c r="E16" s="14" t="n"/>
      <c r="F16" s="1" t="n"/>
      <c r="G16" s="2" t="n"/>
      <c r="H16" s="3" t="n"/>
    </row>
    <row r="17" ht="15" customHeight="1">
      <c r="A17" s="24" t="n">
        <v>1</v>
      </c>
      <c r="B17" s="25" t="inlineStr">
        <is>
          <t>Sacapuntas con depósito</t>
        </is>
      </c>
      <c r="C17" s="14" t="n">
        <v>35</v>
      </c>
      <c r="D17" s="14">
        <f>C17*A17</f>
        <v/>
      </c>
      <c r="E17" s="14" t="n"/>
      <c r="F17" s="1" t="n"/>
      <c r="G17" s="2" t="n"/>
      <c r="H17" s="3" t="n"/>
    </row>
    <row r="18" ht="15" customHeight="1">
      <c r="A18" s="24" t="n">
        <v>1</v>
      </c>
      <c r="B18" s="25" t="inlineStr">
        <is>
          <t>Bata  blanca  de  algodón</t>
        </is>
      </c>
      <c r="C18" s="14" t="n">
        <v>300</v>
      </c>
      <c r="D18" s="14">
        <f>C18*A18</f>
        <v/>
      </c>
      <c r="E18" s="14" t="n"/>
      <c r="F18" s="1" t="n"/>
      <c r="G18" s="2" t="n"/>
      <c r="H18" s="3" t="n"/>
    </row>
    <row r="19" ht="15" customHeight="1">
      <c r="A19" s="24" t="n">
        <v>1</v>
      </c>
      <c r="B19" s="25" t="inlineStr">
        <is>
          <t>Melódica</t>
        </is>
      </c>
      <c r="C19" s="14" t="n">
        <v>280</v>
      </c>
      <c r="D19" s="14">
        <f>C19*A19</f>
        <v/>
      </c>
      <c r="E19" s="14" t="n"/>
      <c r="F19" s="1" t="n"/>
      <c r="G19" s="2" t="n"/>
      <c r="H19" s="3" t="n"/>
    </row>
    <row r="20" ht="15" customHeight="1">
      <c r="A20" s="24" t="n">
        <v>1</v>
      </c>
      <c r="B20" s="25" t="inlineStr">
        <is>
          <t xml:space="preserve">Juego de geometría  con compás de precisión </t>
        </is>
      </c>
      <c r="C20" s="14" t="n">
        <v>135</v>
      </c>
      <c r="D20" s="14">
        <f>C20*A20</f>
        <v/>
      </c>
      <c r="E20" s="14" t="n"/>
      <c r="F20" s="1" t="n"/>
      <c r="G20" s="2" t="n"/>
      <c r="H20" s="3" t="n"/>
    </row>
    <row r="21" ht="15" customHeight="1">
      <c r="A21" s="24" t="n">
        <v>2</v>
      </c>
      <c r="B21" s="25" t="inlineStr">
        <is>
          <t>Bolígrafo de tinta negra</t>
        </is>
      </c>
      <c r="C21" s="14" t="n">
        <v>10</v>
      </c>
      <c r="D21" s="14">
        <f>C21*A21</f>
        <v/>
      </c>
      <c r="E21" s="14" t="n"/>
      <c r="F21" s="1" t="n"/>
      <c r="G21" s="2" t="n"/>
      <c r="H21" s="3" t="n"/>
    </row>
    <row r="22" ht="15" customHeight="1">
      <c r="A22" s="24" t="n">
        <v>2</v>
      </c>
      <c r="B22" s="25" t="inlineStr">
        <is>
          <t>Bolígrafo de tinta azul</t>
        </is>
      </c>
      <c r="C22" s="14" t="n">
        <v>10</v>
      </c>
      <c r="D22" s="14">
        <f>C22*A22</f>
        <v/>
      </c>
      <c r="E22" s="14" t="n"/>
      <c r="F22" s="1" t="n"/>
      <c r="G22" s="2" t="n"/>
      <c r="H22" s="3" t="n"/>
    </row>
    <row r="23" ht="15" customHeight="1">
      <c r="A23" s="24" t="n">
        <v>2</v>
      </c>
      <c r="B23" s="25" t="inlineStr">
        <is>
          <t>Marcatextos</t>
        </is>
      </c>
      <c r="C23" s="14" t="n">
        <v>35</v>
      </c>
      <c r="D23" s="14">
        <f>C23*A23</f>
        <v/>
      </c>
      <c r="E23" s="14" t="n"/>
      <c r="F23" s="1" t="n"/>
      <c r="G23" s="2" t="n"/>
      <c r="H23" s="3" t="n"/>
    </row>
    <row r="24" ht="15" customHeight="1">
      <c r="A24" s="24" t="n">
        <v>2</v>
      </c>
      <c r="B24" s="25" t="inlineStr">
        <is>
          <t>Bolígrafo de tinta roja</t>
        </is>
      </c>
      <c r="C24" s="14" t="n">
        <v>10</v>
      </c>
      <c r="D24" s="14">
        <f>C24*A24</f>
        <v/>
      </c>
      <c r="E24" s="14" t="n"/>
      <c r="F24" s="1" t="n"/>
      <c r="G24" s="2" t="n"/>
      <c r="H24" s="3" t="n"/>
    </row>
    <row r="25" ht="15" customHeight="1">
      <c r="A25" s="24" t="n">
        <v>1</v>
      </c>
      <c r="B25" s="25" t="inlineStr">
        <is>
          <t>Libreta de tareas</t>
        </is>
      </c>
      <c r="C25" s="14" t="n">
        <v>210</v>
      </c>
      <c r="D25" s="14">
        <f>C25*A25</f>
        <v/>
      </c>
      <c r="E25" s="14" t="n"/>
      <c r="F25" s="1" t="n"/>
      <c r="G25" s="2" t="n"/>
      <c r="H25" s="3" t="n"/>
    </row>
    <row r="26" ht="18" customHeight="1">
      <c r="A26" s="24" t="n">
        <v>1</v>
      </c>
      <c r="B26" s="25" t="inlineStr">
        <is>
          <t>Fólder de plástico</t>
        </is>
      </c>
      <c r="C26" s="14" t="n">
        <v>20</v>
      </c>
      <c r="D26" s="14">
        <f>C26*A26</f>
        <v/>
      </c>
      <c r="E26" s="14" t="n"/>
      <c r="F26" s="1" t="n"/>
      <c r="G26" s="2" t="n"/>
      <c r="H26" s="3" t="n"/>
    </row>
    <row r="27" ht="15" customHeight="1">
      <c r="A27" s="24" t="n">
        <v>1</v>
      </c>
      <c r="B27" s="25" t="inlineStr">
        <is>
          <t>Corrector de cinta</t>
        </is>
      </c>
      <c r="C27" s="14" t="n">
        <v>60</v>
      </c>
      <c r="D27" s="14">
        <f>C27*A27</f>
        <v/>
      </c>
      <c r="E27" s="14" t="n"/>
      <c r="F27" s="1" t="n"/>
      <c r="G27" s="2" t="n"/>
      <c r="H27" s="3" t="n"/>
    </row>
    <row r="28" ht="20.25" customHeight="1">
      <c r="A28" s="12" t="inlineStr">
        <is>
          <t>CANTIDAD</t>
        </is>
      </c>
      <c r="B28" s="12" t="inlineStr">
        <is>
          <t>MATERIAL PARA ENTREGAR EN EL COLEGIO</t>
        </is>
      </c>
      <c r="C28" s="12" t="inlineStr">
        <is>
          <t>PRECIO UNITARIO</t>
        </is>
      </c>
      <c r="D28" s="12" t="inlineStr">
        <is>
          <t>PRECIO TOTAL</t>
        </is>
      </c>
      <c r="E28" s="12" t="inlineStr">
        <is>
          <t>PEDIDO</t>
        </is>
      </c>
      <c r="F28" s="1" t="n"/>
      <c r="G28" s="2" t="n"/>
      <c r="H28" s="3" t="n"/>
    </row>
    <row r="29" ht="15" customHeight="1">
      <c r="A29" s="26" t="n">
        <v>1</v>
      </c>
      <c r="B29" s="25" t="inlineStr">
        <is>
          <t>Paquete de 300 hojas blancas  tamaño  carta</t>
        </is>
      </c>
      <c r="C29" s="14" t="n">
        <v>135</v>
      </c>
      <c r="D29" s="14">
        <f>C29*A29</f>
        <v/>
      </c>
      <c r="E29" s="14" t="n"/>
      <c r="F29" s="1" t="n"/>
      <c r="G29" s="2" t="n"/>
      <c r="H29" s="3" t="n"/>
    </row>
    <row r="30" ht="15" customHeight="1">
      <c r="A30" s="26" t="n">
        <v>1</v>
      </c>
      <c r="B30" s="25" t="inlineStr">
        <is>
          <t>Paquete de 100 hojas de color  tamaño  carta</t>
        </is>
      </c>
      <c r="C30" s="14" t="n">
        <v>100</v>
      </c>
      <c r="D30" s="14">
        <f>C30*A30</f>
        <v/>
      </c>
      <c r="E30" s="14" t="n"/>
      <c r="F30" s="1" t="n"/>
      <c r="G30" s="2" t="n"/>
      <c r="H30" s="3" t="n"/>
    </row>
    <row r="31" ht="15" customHeight="1">
      <c r="A31" s="26" t="n">
        <v>5</v>
      </c>
      <c r="B31" s="25" t="inlineStr">
        <is>
          <t>Cartulina de color (Diferentes colores)</t>
        </is>
      </c>
      <c r="C31" s="14" t="n">
        <v>17</v>
      </c>
      <c r="D31" s="14">
        <f>C31*A31</f>
        <v/>
      </c>
      <c r="E31" s="14" t="n"/>
      <c r="F31" s="1" t="n"/>
      <c r="G31" s="2" t="n"/>
      <c r="H31" s="3" t="n"/>
    </row>
    <row r="32">
      <c r="A32" s="26" t="n">
        <v>4</v>
      </c>
      <c r="B32" s="25" t="inlineStr">
        <is>
          <t>Plumón para pizarrón blanco (Negro, rojo, verde y azul)</t>
        </is>
      </c>
      <c r="C32" s="14" t="n">
        <v>35</v>
      </c>
      <c r="D32" s="14">
        <f>C32*A32</f>
        <v/>
      </c>
      <c r="E32" s="14" t="n"/>
      <c r="F32" s="1" t="n"/>
      <c r="G32" s="2" t="n"/>
      <c r="H32" s="3" t="n"/>
    </row>
    <row r="33">
      <c r="A33" s="26" t="n">
        <v>3</v>
      </c>
      <c r="B33" s="25" t="inlineStr">
        <is>
          <t>Bolígrafo de tinta rosa</t>
        </is>
      </c>
      <c r="C33" s="14" t="n">
        <v>10</v>
      </c>
      <c r="D33" s="14">
        <f>C33*A33</f>
        <v/>
      </c>
      <c r="E33" s="14" t="n"/>
      <c r="F33" s="1" t="n"/>
      <c r="G33" s="2" t="n"/>
      <c r="H33" s="3" t="n"/>
    </row>
    <row r="34">
      <c r="A34" s="26" t="n">
        <v>3</v>
      </c>
      <c r="B34" s="25" t="inlineStr">
        <is>
          <t>Bolígrafo de tinta azul</t>
        </is>
      </c>
      <c r="C34" s="14" t="n">
        <v>10</v>
      </c>
      <c r="D34" s="14">
        <f>C34*A34</f>
        <v/>
      </c>
      <c r="E34" s="14" t="n"/>
      <c r="F34" s="1" t="n"/>
      <c r="G34" s="2" t="n"/>
      <c r="H34" s="3" t="n"/>
    </row>
    <row r="35">
      <c r="A35" s="26" t="n">
        <v>1</v>
      </c>
      <c r="B35" s="25" t="inlineStr">
        <is>
          <t>Cinta masking tape</t>
        </is>
      </c>
      <c r="C35" s="14" t="n">
        <v>45</v>
      </c>
      <c r="D35" s="14">
        <f>C35*A35</f>
        <v/>
      </c>
      <c r="E35" s="14" t="n"/>
      <c r="F35" s="1" t="n"/>
      <c r="G35" s="2" t="n"/>
      <c r="H35" s="3" t="n"/>
    </row>
    <row r="36">
      <c r="A36" s="26" t="n">
        <v>5</v>
      </c>
      <c r="B36" s="25" t="inlineStr">
        <is>
          <t>Paquete de Sanitas (2 para laboratorio)</t>
        </is>
      </c>
      <c r="C36" s="14" t="n">
        <v>50</v>
      </c>
      <c r="D36" s="14">
        <f>C36*A36</f>
        <v/>
      </c>
      <c r="E36" s="14" t="n"/>
      <c r="F36" s="1" t="n"/>
      <c r="G36" s="2" t="n"/>
      <c r="H36" s="3" t="n"/>
    </row>
    <row r="37">
      <c r="A37" s="26" t="n">
        <v>1</v>
      </c>
      <c r="B37" s="25" t="inlineStr">
        <is>
          <t>Bote de pintura Vinci (Cualquier color)</t>
        </is>
      </c>
      <c r="C37" s="14" t="n">
        <v>25</v>
      </c>
      <c r="D37" s="14">
        <f>C37*A37</f>
        <v/>
      </c>
      <c r="E37" s="14" t="n"/>
      <c r="F37" s="1" t="n"/>
      <c r="G37" s="2" t="n"/>
      <c r="H37" s="3" t="n"/>
    </row>
    <row r="38" ht="15" customHeight="1">
      <c r="A38" s="26" t="n">
        <v>1</v>
      </c>
      <c r="B38" s="25" t="inlineStr">
        <is>
          <t>Paquete de conos para tomar agua</t>
        </is>
      </c>
      <c r="C38" s="14" t="n">
        <v>125</v>
      </c>
      <c r="D38" s="14">
        <f>C38*A38</f>
        <v/>
      </c>
      <c r="E38" s="14" t="n"/>
      <c r="F38" s="1" t="n"/>
      <c r="G38" s="2" t="n"/>
      <c r="H38" s="3" t="n"/>
    </row>
    <row r="39" ht="15" customHeight="1">
      <c r="A39" s="26" t="n">
        <v>3</v>
      </c>
      <c r="B39" s="25" t="inlineStr">
        <is>
          <t>Sobre amarillo tamaño carta</t>
        </is>
      </c>
      <c r="C39" s="14" t="n">
        <v>9</v>
      </c>
      <c r="D39" s="14">
        <f>C39*A39</f>
        <v/>
      </c>
      <c r="E39" s="14" t="n"/>
      <c r="F39" s="1" t="n"/>
      <c r="G39" s="2" t="n"/>
      <c r="H39" s="3" t="n"/>
    </row>
    <row r="40" ht="15" customHeight="1">
      <c r="A40" s="26" t="n">
        <v>1</v>
      </c>
      <c r="B40" s="25" t="inlineStr">
        <is>
          <t>Jabón líquido para manos 225 ml</t>
        </is>
      </c>
      <c r="C40" s="14" t="n">
        <v>60</v>
      </c>
      <c r="D40" s="14">
        <f>C40*A40</f>
        <v/>
      </c>
      <c r="E40" s="14" t="n"/>
      <c r="F40" s="1" t="n"/>
      <c r="G40" s="2" t="n"/>
      <c r="H40" s="3" t="n"/>
    </row>
    <row r="41" ht="15" customHeight="1">
      <c r="A41" s="26" t="n">
        <v>5</v>
      </c>
      <c r="B41" s="25" t="inlineStr">
        <is>
          <t>Fólder tamaño carta beige</t>
        </is>
      </c>
      <c r="C41" s="14" t="n">
        <v>7</v>
      </c>
      <c r="D41" s="14">
        <f>C41*A41</f>
        <v/>
      </c>
      <c r="E41" s="14" t="n"/>
      <c r="F41" s="1" t="n"/>
      <c r="G41" s="2" t="n"/>
      <c r="H41" s="3" t="n"/>
    </row>
    <row r="42" ht="15" customHeight="1">
      <c r="A42" s="26" t="n">
        <v>2</v>
      </c>
      <c r="B42" s="25" t="inlineStr">
        <is>
          <t>Rollo de papel kraft</t>
        </is>
      </c>
      <c r="C42" s="14" t="n">
        <v>15</v>
      </c>
      <c r="D42" s="14">
        <f>C42*A42</f>
        <v/>
      </c>
      <c r="E42" s="14" t="n"/>
      <c r="F42" s="1" t="n"/>
      <c r="G42" s="2" t="n"/>
      <c r="H42" s="3" t="n"/>
    </row>
    <row r="43" ht="15" customHeight="1">
      <c r="A43" s="26" t="n">
        <v>1</v>
      </c>
      <c r="B43" s="25" t="inlineStr">
        <is>
          <t>Silicón frío 100 ml</t>
        </is>
      </c>
      <c r="C43" s="14" t="n">
        <v>40</v>
      </c>
      <c r="D43" s="14">
        <f>C43*A43</f>
        <v/>
      </c>
      <c r="E43" s="14" t="n"/>
      <c r="F43" s="1" t="n"/>
      <c r="G43" s="2" t="n"/>
      <c r="H43" s="3" t="n"/>
    </row>
    <row r="44" ht="12.75" customHeight="1">
      <c r="A44" s="20" t="n"/>
      <c r="B44" s="10" t="inlineStr">
        <is>
          <t>LIBROS</t>
        </is>
      </c>
      <c r="C44" s="15" t="n"/>
      <c r="D44" s="16" t="n"/>
      <c r="E44" s="15" t="n"/>
    </row>
    <row r="45" ht="16.5" customHeight="1">
      <c r="A45" s="22" t="n">
        <v>1</v>
      </c>
      <c r="B45" s="29" t="inlineStr">
        <is>
          <t>Paquete Larousse</t>
        </is>
      </c>
      <c r="C45" s="14" t="n">
        <v>5280</v>
      </c>
      <c r="D45" s="14">
        <f>C45*A45</f>
        <v/>
      </c>
      <c r="E45" s="14" t="n"/>
    </row>
    <row r="46" ht="28.5" customHeight="1">
      <c r="A46" s="22" t="n">
        <v>1</v>
      </c>
      <c r="B46" s="23" t="inlineStr">
        <is>
          <t>Gateway to the World A2 Student's book ISBN: 9781380042507 (Básico)</t>
        </is>
      </c>
      <c r="C46" s="14" t="n">
        <v>1145</v>
      </c>
      <c r="D46" s="14">
        <f>C46*A46</f>
        <v/>
      </c>
      <c r="E46" s="14" t="n"/>
    </row>
    <row r="47" ht="31" customHeight="1">
      <c r="A47" s="21" t="n">
        <v>1</v>
      </c>
      <c r="B47" s="23" t="inlineStr">
        <is>
          <t>Gateway to the World B1 Student's book ISBN: 9781380042699 (Avanzado)</t>
        </is>
      </c>
      <c r="C47" s="14" t="n">
        <v>1145</v>
      </c>
      <c r="D47" s="14">
        <f>C47*A47</f>
        <v/>
      </c>
      <c r="E47" s="14" t="n"/>
    </row>
    <row r="48" ht="18.75" customHeight="1">
      <c r="A48" s="46" t="inlineStr">
        <is>
          <t>Total solo libros</t>
        </is>
      </c>
      <c r="B48" s="47" t="n"/>
      <c r="C48" s="48" t="n"/>
      <c r="D48" s="17">
        <f>SUM(D45:D46)</f>
        <v/>
      </c>
      <c r="E48" s="14" t="n"/>
    </row>
    <row r="49" ht="15" customHeight="1">
      <c r="A49" s="46" t="inlineStr">
        <is>
          <t>Total con papeleria y libros básico</t>
        </is>
      </c>
      <c r="B49" s="47" t="n"/>
      <c r="C49" s="48" t="n"/>
      <c r="D49" s="17">
        <f>SUM(D2:D46)</f>
        <v/>
      </c>
      <c r="E49" s="14" t="n"/>
    </row>
    <row r="50" ht="16.5" customHeight="1">
      <c r="A50" s="46" t="inlineStr">
        <is>
          <t xml:space="preserve">Total con papeleria y libros avanzado </t>
        </is>
      </c>
      <c r="B50" s="47" t="n"/>
      <c r="C50" s="48" t="n"/>
      <c r="D50" s="17">
        <f>SUM(D2:D45)+D46</f>
        <v/>
      </c>
      <c r="E50" s="14" t="n"/>
    </row>
    <row r="51" ht="15" customHeight="1">
      <c r="A51" s="41" t="inlineStr">
        <is>
          <t>NOTA:  TODOS  LOS  LIBROS  DE  TEXTO  SE  FORRAN  SOLO  CON  PLÁSTICO  TRANSPARENTE  Y  ETIQUETA  CON  NOMBRE</t>
        </is>
      </c>
      <c r="B51" s="47" t="n"/>
      <c r="C51" s="47" t="n"/>
      <c r="D51" s="47" t="n"/>
      <c r="E51" s="48" t="n"/>
    </row>
    <row r="52" ht="15" customHeight="1">
      <c r="A52" s="42" t="inlineStr">
        <is>
          <t xml:space="preserve">                  TODOS  LOS  CUADERNOS  SE  FORRAN  DE  COLOR  ROJO</t>
        </is>
      </c>
      <c r="B52" s="47" t="n"/>
      <c r="C52" s="47" t="n"/>
      <c r="D52" s="47" t="n"/>
      <c r="E52" s="48" t="n"/>
    </row>
  </sheetData>
  <mergeCells count="9">
    <mergeCell ref="A4:E4"/>
    <mergeCell ref="A49:C49"/>
    <mergeCell ref="A2:E2"/>
    <mergeCell ref="A52:E52"/>
    <mergeCell ref="A51:E51"/>
    <mergeCell ref="A1:E1"/>
    <mergeCell ref="A50:C50"/>
    <mergeCell ref="A48:C48"/>
    <mergeCell ref="A3:E3"/>
  </mergeCells>
  <pageMargins left="0.7" right="0.7" top="0.75" bottom="0.75" header="0.3" footer="0.3"/>
  <pageSetup orientation="portrait" paperSize="9" scale="87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topLeftCell="A17" workbookViewId="0">
      <selection activeCell="D31" sqref="D31"/>
    </sheetView>
  </sheetViews>
  <sheetFormatPr baseColWidth="10" defaultRowHeight="15"/>
  <cols>
    <col width="53" customWidth="1" min="2" max="2"/>
  </cols>
  <sheetData>
    <row r="1" ht="15.75" customFormat="1" customHeight="1" s="19">
      <c r="A1" s="36" t="inlineStr">
        <is>
          <t>COLEGIO FLORESTA</t>
        </is>
      </c>
    </row>
    <row r="2" ht="13.5" customFormat="1" customHeight="1" s="19">
      <c r="A2" s="36" t="inlineStr">
        <is>
          <t xml:space="preserve">LISTA DE ÚTILES </t>
        </is>
      </c>
    </row>
    <row r="3" ht="12" customFormat="1" customHeight="1" s="19">
      <c r="A3" s="36" t="inlineStr">
        <is>
          <t>TERCER  GRADO</t>
        </is>
      </c>
    </row>
    <row r="4" ht="17.25" customFormat="1" customHeight="1" s="19">
      <c r="A4" s="37" t="inlineStr">
        <is>
          <t xml:space="preserve">Ciclo escolar 2026-2027 </t>
        </is>
      </c>
      <c r="B4" s="45" t="n"/>
      <c r="C4" s="45" t="n"/>
      <c r="D4" s="45" t="n"/>
      <c r="E4" s="45" t="n"/>
    </row>
    <row r="5" ht="22.5" customHeight="1">
      <c r="A5" s="12" t="inlineStr">
        <is>
          <t>CANTIDAD</t>
        </is>
      </c>
      <c r="B5" s="12" t="inlineStr">
        <is>
          <t>MATERIAL DIARIO</t>
        </is>
      </c>
      <c r="C5" s="12" t="inlineStr">
        <is>
          <t>PRECIO UNITARIO</t>
        </is>
      </c>
      <c r="D5" s="12" t="inlineStr">
        <is>
          <t>PRECIO TOTAL</t>
        </is>
      </c>
      <c r="E5" s="12" t="inlineStr">
        <is>
          <t>PEDIDO</t>
        </is>
      </c>
    </row>
    <row r="6" ht="42" customHeight="1">
      <c r="A6" s="26" t="n">
        <v>3</v>
      </c>
      <c r="B6" s="25" t="inlineStr">
        <is>
          <t>Cuaderno profesional cuadro chico 100 hojas (Francés, educación física (comparten), innovación, socioemocional (comparten) e Historia)</t>
        </is>
      </c>
      <c r="C6" s="14" t="n">
        <v>150</v>
      </c>
      <c r="D6" s="28">
        <f>C6*A6</f>
        <v/>
      </c>
      <c r="E6" s="14" t="n"/>
    </row>
    <row r="7">
      <c r="A7" s="26" t="n">
        <v>1</v>
      </c>
      <c r="B7" s="27" t="inlineStr">
        <is>
          <t>Cuaderno profesional cuadro chico 100 hojas (Inglés)</t>
        </is>
      </c>
      <c r="C7" s="14" t="n">
        <v>150</v>
      </c>
      <c r="D7" s="28">
        <f>C7*A7</f>
        <v/>
      </c>
      <c r="E7" s="14" t="n"/>
    </row>
    <row r="8">
      <c r="A8" s="26" t="n">
        <v>1</v>
      </c>
      <c r="B8" s="27" t="inlineStr">
        <is>
          <t>Cuaderno profesional cuadro chico 100 hojas (Español)</t>
        </is>
      </c>
      <c r="C8" s="14" t="n">
        <v>150</v>
      </c>
      <c r="D8" s="28">
        <f>C8*A8</f>
        <v/>
      </c>
      <c r="E8" s="14" t="n"/>
    </row>
    <row r="9">
      <c r="A9" s="26" t="n">
        <v>1</v>
      </c>
      <c r="B9" s="27" t="inlineStr">
        <is>
          <t>Cuaderno profesional cuadro chico 100 hojas (Matemáticas)</t>
        </is>
      </c>
      <c r="C9" s="14" t="n">
        <v>150</v>
      </c>
      <c r="D9" s="28">
        <f>C9*A9</f>
        <v/>
      </c>
      <c r="E9" s="14" t="n"/>
    </row>
    <row r="10">
      <c r="A10" s="26" t="n">
        <v>1</v>
      </c>
      <c r="B10" s="27" t="inlineStr">
        <is>
          <t>Cuaderno profesional Norma para música</t>
        </is>
      </c>
      <c r="C10" s="14" t="n">
        <v>120</v>
      </c>
      <c r="D10" s="28">
        <f>C10*A10</f>
        <v/>
      </c>
      <c r="E10" s="14" t="n"/>
    </row>
    <row r="11">
      <c r="A11" s="24" t="n">
        <v>1</v>
      </c>
      <c r="B11" s="25" t="inlineStr">
        <is>
          <t>Constitución Política de los Estados Unidos Mexicanos</t>
        </is>
      </c>
      <c r="C11" s="14" t="n">
        <v>100</v>
      </c>
      <c r="D11" s="28">
        <f>C11*A11</f>
        <v/>
      </c>
      <c r="E11" s="14" t="n"/>
    </row>
    <row r="12">
      <c r="A12" s="26" t="n">
        <v>1</v>
      </c>
      <c r="B12" s="27" t="inlineStr">
        <is>
          <t>Caja de 12 colores</t>
        </is>
      </c>
      <c r="C12" s="14" t="n">
        <v>150</v>
      </c>
      <c r="D12" s="28">
        <f>C12*A12</f>
        <v/>
      </c>
      <c r="E12" s="14" t="n"/>
    </row>
    <row r="13">
      <c r="A13" s="26" t="n">
        <v>2</v>
      </c>
      <c r="B13" s="27" t="inlineStr">
        <is>
          <t>Lápiz No. 2</t>
        </is>
      </c>
      <c r="C13" s="14" t="n">
        <v>10</v>
      </c>
      <c r="D13" s="28">
        <f>C13*A13</f>
        <v/>
      </c>
      <c r="E13" s="14" t="n"/>
    </row>
    <row r="14">
      <c r="A14" s="26" t="n">
        <v>2</v>
      </c>
      <c r="B14" s="27" t="inlineStr">
        <is>
          <t>Bolígrafo de tinta rosa</t>
        </is>
      </c>
      <c r="C14" s="14" t="n">
        <v>10</v>
      </c>
      <c r="D14" s="28">
        <f>C14*A14</f>
        <v/>
      </c>
      <c r="E14" s="14" t="n"/>
    </row>
    <row r="15">
      <c r="A15" s="26" t="n">
        <v>2</v>
      </c>
      <c r="B15" s="27" t="inlineStr">
        <is>
          <t>Bolígrafo de tinta negra</t>
        </is>
      </c>
      <c r="C15" s="14" t="n">
        <v>10</v>
      </c>
      <c r="D15" s="28">
        <f>C15*A15</f>
        <v/>
      </c>
      <c r="E15" s="14" t="n"/>
    </row>
    <row r="16">
      <c r="A16" s="26" t="n">
        <v>2</v>
      </c>
      <c r="B16" s="27" t="inlineStr">
        <is>
          <t>Bolígrafo de tinta azul</t>
        </is>
      </c>
      <c r="C16" s="14" t="n">
        <v>10</v>
      </c>
      <c r="D16" s="28">
        <f>C16*A16</f>
        <v/>
      </c>
      <c r="E16" s="14" t="n"/>
    </row>
    <row r="17">
      <c r="A17" s="26" t="n">
        <v>1</v>
      </c>
      <c r="B17" s="27" t="inlineStr">
        <is>
          <t>Goma de migajón</t>
        </is>
      </c>
      <c r="C17" s="14" t="n">
        <v>10</v>
      </c>
      <c r="D17" s="28">
        <f>C17*A17</f>
        <v/>
      </c>
      <c r="E17" s="14" t="n"/>
    </row>
    <row r="18">
      <c r="A18" s="26" t="n">
        <v>1</v>
      </c>
      <c r="B18" s="27" t="inlineStr">
        <is>
          <t>Sacapuntas con depósito</t>
        </is>
      </c>
      <c r="C18" s="14" t="n">
        <v>35</v>
      </c>
      <c r="D18" s="28">
        <f>C18*A18</f>
        <v/>
      </c>
      <c r="E18" s="14" t="n"/>
    </row>
    <row r="19">
      <c r="A19" s="26" t="n">
        <v>1</v>
      </c>
      <c r="B19" s="27" t="inlineStr">
        <is>
          <t>Lápiz adhesivo tipo Pritt 22 g</t>
        </is>
      </c>
      <c r="C19" s="14" t="n">
        <v>40</v>
      </c>
      <c r="D19" s="28">
        <f>C19*A19</f>
        <v/>
      </c>
      <c r="E19" s="14" t="n"/>
    </row>
    <row r="20">
      <c r="A20" s="26" t="n">
        <v>1</v>
      </c>
      <c r="B20" s="27" t="inlineStr">
        <is>
          <t>Tijeras de punta roma</t>
        </is>
      </c>
      <c r="C20" s="14" t="n">
        <v>30</v>
      </c>
      <c r="D20" s="28">
        <f>C20*A20</f>
        <v/>
      </c>
      <c r="E20" s="14" t="n"/>
    </row>
    <row r="21">
      <c r="A21" s="26" t="n">
        <v>1</v>
      </c>
      <c r="B21" s="27" t="inlineStr">
        <is>
          <t>Corrector de cinta</t>
        </is>
      </c>
      <c r="C21" s="14" t="n">
        <v>60</v>
      </c>
      <c r="D21" s="28">
        <f>C21*A21</f>
        <v/>
      </c>
      <c r="E21" s="14" t="n"/>
    </row>
    <row r="22">
      <c r="A22" s="26" t="n">
        <v>1</v>
      </c>
      <c r="B22" s="27" t="inlineStr">
        <is>
          <t>Juego de geometría con compás de precisión</t>
        </is>
      </c>
      <c r="C22" s="14" t="n">
        <v>135</v>
      </c>
      <c r="D22" s="28">
        <f>C22*A22</f>
        <v/>
      </c>
      <c r="E22" s="14" t="n"/>
    </row>
    <row r="23">
      <c r="A23" s="26" t="n">
        <v>1</v>
      </c>
      <c r="B23" s="27" t="inlineStr">
        <is>
          <t>Bata  blanca  de  algodón</t>
        </is>
      </c>
      <c r="C23" s="14" t="n">
        <v>300</v>
      </c>
      <c r="D23" s="28">
        <f>C23*A23</f>
        <v/>
      </c>
      <c r="E23" s="14" t="n"/>
    </row>
    <row r="24">
      <c r="A24" s="26" t="n">
        <v>1</v>
      </c>
      <c r="B24" s="27" t="inlineStr">
        <is>
          <t>Melódica</t>
        </is>
      </c>
      <c r="C24" s="14" t="n">
        <v>280</v>
      </c>
      <c r="D24" s="28">
        <f>C24*A24</f>
        <v/>
      </c>
      <c r="E24" s="14" t="n"/>
    </row>
    <row r="25" ht="16.5" customHeight="1">
      <c r="A25" s="26" t="n">
        <v>2</v>
      </c>
      <c r="B25" s="27" t="inlineStr">
        <is>
          <t>Marcatextos</t>
        </is>
      </c>
      <c r="C25" s="14" t="n">
        <v>35</v>
      </c>
      <c r="D25" s="28">
        <f>C25*A25</f>
        <v/>
      </c>
      <c r="E25" s="14" t="n"/>
    </row>
    <row r="26">
      <c r="A26" s="26" t="n">
        <v>1</v>
      </c>
      <c r="B26" s="27" t="inlineStr">
        <is>
          <t xml:space="preserve">Libreta de tareas </t>
        </is>
      </c>
      <c r="C26" s="14" t="n">
        <v>210</v>
      </c>
      <c r="D26" s="28">
        <f>C26*A26</f>
        <v/>
      </c>
      <c r="E26" s="14" t="n"/>
    </row>
    <row r="27">
      <c r="A27" s="26" t="n">
        <v>1</v>
      </c>
      <c r="B27" s="27" t="inlineStr">
        <is>
          <t>Fólder de plástico</t>
        </is>
      </c>
      <c r="C27" s="14" t="n">
        <v>20</v>
      </c>
      <c r="D27" s="28">
        <f>C27*A27</f>
        <v/>
      </c>
      <c r="E27" s="14" t="n"/>
    </row>
    <row r="28">
      <c r="A28" s="26" t="n">
        <v>1</v>
      </c>
      <c r="B28" s="27" t="inlineStr">
        <is>
          <t>Tabla periódica actualizada Ed. Patria</t>
        </is>
      </c>
      <c r="C28" s="14" t="n">
        <v>20</v>
      </c>
      <c r="D28" s="28">
        <f>C28*A28</f>
        <v/>
      </c>
      <c r="E28" s="14" t="n"/>
    </row>
    <row r="29">
      <c r="A29" s="12" t="inlineStr">
        <is>
          <t>CANTIDAD</t>
        </is>
      </c>
      <c r="B29" s="12" t="inlineStr">
        <is>
          <t>MATERIAL PARA ENTREGAR EN EL COLEGIO</t>
        </is>
      </c>
      <c r="C29" s="12" t="inlineStr">
        <is>
          <t>PRECIO UNITARIO</t>
        </is>
      </c>
      <c r="D29" s="12" t="inlineStr">
        <is>
          <t>PRECIO TOTAL</t>
        </is>
      </c>
      <c r="E29" s="12" t="inlineStr">
        <is>
          <t>PEDIDO</t>
        </is>
      </c>
    </row>
    <row r="30">
      <c r="A30" s="26" t="n">
        <v>1</v>
      </c>
      <c r="B30" s="25" t="inlineStr">
        <is>
          <t>Paquete de 300 hojas  blancas  tamaño  carta</t>
        </is>
      </c>
      <c r="C30" s="14" t="n">
        <v>135</v>
      </c>
      <c r="D30" s="14">
        <f>C30*A30</f>
        <v/>
      </c>
      <c r="E30" s="14" t="n"/>
    </row>
    <row r="31">
      <c r="A31" s="26" t="n">
        <v>1</v>
      </c>
      <c r="B31" s="25" t="inlineStr">
        <is>
          <t>Paquete de 100 hojas de color  tamaño  carta</t>
        </is>
      </c>
      <c r="C31" s="14" t="n">
        <v>100</v>
      </c>
      <c r="D31" s="14">
        <f>C31*A31</f>
        <v/>
      </c>
      <c r="E31" s="14" t="n"/>
    </row>
    <row r="32">
      <c r="A32" s="26" t="n">
        <v>5</v>
      </c>
      <c r="B32" s="25" t="inlineStr">
        <is>
          <t>Cartulina de color (Diferentes colores)</t>
        </is>
      </c>
      <c r="C32" s="14" t="n">
        <v>17</v>
      </c>
      <c r="D32" s="14">
        <f>C32*A32</f>
        <v/>
      </c>
      <c r="E32" s="14" t="n"/>
    </row>
    <row r="33">
      <c r="A33" s="26" t="n">
        <v>4</v>
      </c>
      <c r="B33" s="25" t="inlineStr">
        <is>
          <t>Plumón para pizarrón blanco (Negro, rojo, verde y azul)</t>
        </is>
      </c>
      <c r="C33" s="14" t="n">
        <v>35</v>
      </c>
      <c r="D33" s="14">
        <f>C33*A33</f>
        <v/>
      </c>
      <c r="E33" s="14" t="n"/>
    </row>
    <row r="34">
      <c r="A34" s="26" t="n">
        <v>3</v>
      </c>
      <c r="B34" s="25" t="inlineStr">
        <is>
          <t>Bolígrafo de tinta negra</t>
        </is>
      </c>
      <c r="C34" s="14" t="n">
        <v>10</v>
      </c>
      <c r="D34" s="14">
        <f>C34*A34</f>
        <v/>
      </c>
      <c r="E34" s="14" t="n"/>
    </row>
    <row r="35">
      <c r="A35" s="26" t="n">
        <v>3</v>
      </c>
      <c r="B35" s="25" t="inlineStr">
        <is>
          <t>Bolígrafo de tinta azul</t>
        </is>
      </c>
      <c r="C35" s="14" t="n">
        <v>10</v>
      </c>
      <c r="D35" s="14">
        <f>C35*A35</f>
        <v/>
      </c>
      <c r="E35" s="14" t="n"/>
    </row>
    <row r="36">
      <c r="A36" s="26" t="n">
        <v>5</v>
      </c>
      <c r="B36" s="25" t="inlineStr">
        <is>
          <t>Barras de silicón grueso</t>
        </is>
      </c>
      <c r="C36" s="14" t="n">
        <v>13</v>
      </c>
      <c r="D36" s="14">
        <f>C36*A36</f>
        <v/>
      </c>
      <c r="E36" s="14" t="n"/>
    </row>
    <row r="37">
      <c r="A37" s="26" t="n">
        <v>5</v>
      </c>
      <c r="B37" s="25" t="inlineStr">
        <is>
          <t>Barras de silicón delgado</t>
        </is>
      </c>
      <c r="C37" s="14" t="n">
        <v>10</v>
      </c>
      <c r="D37" s="14">
        <f>C37*A37</f>
        <v/>
      </c>
      <c r="E37" s="14" t="n"/>
    </row>
    <row r="38">
      <c r="A38" s="26" t="n">
        <v>5</v>
      </c>
      <c r="B38" s="25" t="inlineStr">
        <is>
          <t>Paquete de Sanitas (2 para laboratorio)</t>
        </is>
      </c>
      <c r="C38" s="14" t="n">
        <v>50</v>
      </c>
      <c r="D38" s="14">
        <f>C38*A38</f>
        <v/>
      </c>
      <c r="E38" s="14" t="n"/>
    </row>
    <row r="39">
      <c r="A39" s="26" t="n">
        <v>2</v>
      </c>
      <c r="B39" s="25" t="inlineStr">
        <is>
          <t>Rollos papel kraft</t>
        </is>
      </c>
      <c r="C39" s="14" t="n">
        <v>15</v>
      </c>
      <c r="D39" s="14">
        <f>C39*A39</f>
        <v/>
      </c>
      <c r="E39" s="14" t="n"/>
    </row>
    <row r="40">
      <c r="A40" s="26" t="n">
        <v>1</v>
      </c>
      <c r="B40" s="25" t="inlineStr">
        <is>
          <t>Jabón líquido para manos 225 ml</t>
        </is>
      </c>
      <c r="C40" s="14" t="n">
        <v>60</v>
      </c>
      <c r="D40" s="14">
        <f>C40*A40</f>
        <v/>
      </c>
      <c r="E40" s="14" t="n"/>
    </row>
    <row r="41">
      <c r="A41" s="26" t="n">
        <v>5</v>
      </c>
      <c r="B41" s="25" t="inlineStr">
        <is>
          <t>Fólder tamaño carta beige</t>
        </is>
      </c>
      <c r="C41" s="14" t="n">
        <v>7</v>
      </c>
      <c r="D41" s="14">
        <f>C41*A41</f>
        <v/>
      </c>
      <c r="E41" s="14" t="n"/>
    </row>
    <row r="42">
      <c r="A42" s="26" t="n">
        <v>2</v>
      </c>
      <c r="B42" s="25" t="inlineStr">
        <is>
          <t>Cinta diurex gruesa</t>
        </is>
      </c>
      <c r="C42" s="14" t="n">
        <v>65</v>
      </c>
      <c r="D42" s="14">
        <f>C42*A42</f>
        <v/>
      </c>
      <c r="E42" s="14" t="n"/>
    </row>
    <row r="43">
      <c r="A43" s="26" t="n">
        <v>3</v>
      </c>
      <c r="B43" s="25" t="inlineStr">
        <is>
          <t>Sobre amarillo tamaño carta</t>
        </is>
      </c>
      <c r="C43" s="14" t="n">
        <v>9</v>
      </c>
      <c r="D43" s="14">
        <f>C43*A43</f>
        <v/>
      </c>
      <c r="E43" s="14" t="n"/>
    </row>
    <row r="44">
      <c r="A44" s="15" t="n"/>
      <c r="B44" s="10" t="inlineStr">
        <is>
          <t>LIBROS</t>
        </is>
      </c>
      <c r="C44" s="15" t="n"/>
      <c r="D44" s="16" t="n"/>
      <c r="E44" s="15" t="n"/>
    </row>
    <row r="45" ht="18" customHeight="1">
      <c r="A45" s="22" t="n">
        <v>1</v>
      </c>
      <c r="B45" s="29" t="inlineStr">
        <is>
          <t>Paquete Larousse</t>
        </is>
      </c>
      <c r="C45" s="14" t="n">
        <v>5280</v>
      </c>
      <c r="D45" s="14">
        <f>C45*A45</f>
        <v/>
      </c>
      <c r="E45" s="14" t="n"/>
    </row>
    <row r="46" ht="31" customHeight="1">
      <c r="A46" s="21" t="n">
        <v>1</v>
      </c>
      <c r="B46" s="23" t="inlineStr">
        <is>
          <t>Gateway to the World B1 Student's book ISBN: 9781380042699 (Básico)</t>
        </is>
      </c>
      <c r="C46" s="14" t="n">
        <v>1145</v>
      </c>
      <c r="D46" s="14">
        <f>C46*A46</f>
        <v/>
      </c>
      <c r="E46" s="14" t="n"/>
    </row>
    <row r="47" ht="31" customHeight="1">
      <c r="A47" s="21" t="n">
        <v>1</v>
      </c>
      <c r="B47" s="23" t="inlineStr">
        <is>
          <t>Gateway to the World B1+ Student's book ISBN: 9781380042880 (Avanzado)</t>
        </is>
      </c>
      <c r="C47" s="14" t="n">
        <v>1145</v>
      </c>
      <c r="D47" s="14">
        <f>C47*A47</f>
        <v/>
      </c>
      <c r="E47" s="14" t="n"/>
    </row>
    <row r="48">
      <c r="A48" s="21" t="n"/>
      <c r="B48" s="18" t="inlineStr">
        <is>
          <t>Total solo libros</t>
        </is>
      </c>
      <c r="C48" s="17" t="n"/>
      <c r="D48" s="17">
        <f>SUM(D45:D46)</f>
        <v/>
      </c>
      <c r="E48" s="14" t="n"/>
    </row>
    <row r="49">
      <c r="A49" s="21" t="n"/>
      <c r="B49" s="18" t="inlineStr">
        <is>
          <t>Total con papeleria y libros básico</t>
        </is>
      </c>
      <c r="C49" s="17" t="n"/>
      <c r="D49" s="17">
        <f>SUM(D4:D46)</f>
        <v/>
      </c>
      <c r="E49" s="14" t="n"/>
    </row>
    <row r="50">
      <c r="A50" s="21" t="n"/>
      <c r="B50" s="18" t="inlineStr">
        <is>
          <t xml:space="preserve">Total con papeleria y libros avanzado </t>
        </is>
      </c>
      <c r="C50" s="17" t="n"/>
      <c r="D50" s="17">
        <f>SUM(D4:D45)+D47</f>
        <v/>
      </c>
      <c r="E50" s="14" t="n"/>
    </row>
    <row r="51">
      <c r="A51" s="41" t="inlineStr">
        <is>
          <t>NOTA:  TODOS  LOS  LIBROS  DE  TEXTO  SE  FORRAN  SOLO  CON  PLÁSTICO  TRANSPARENTE  Y  ETIQUETA  CON  NOMBRE</t>
        </is>
      </c>
      <c r="B51" s="47" t="n"/>
      <c r="C51" s="47" t="n"/>
      <c r="D51" s="47" t="n"/>
      <c r="E51" s="48" t="n"/>
    </row>
    <row r="52">
      <c r="A52" s="44" t="inlineStr">
        <is>
          <t xml:space="preserve">                  TODOS  LOS  CUADERNOS  SE  FORRAN  DE  COLOR AZUL CIELO</t>
        </is>
      </c>
      <c r="B52" s="47" t="n"/>
      <c r="C52" s="47" t="n"/>
      <c r="D52" s="47" t="n"/>
      <c r="E52" s="48" t="n"/>
    </row>
    <row r="53">
      <c r="A53" s="6" t="n"/>
      <c r="B53" s="5" t="n"/>
      <c r="C53" s="4" t="n"/>
      <c r="D53" s="4" t="n"/>
      <c r="E53" s="4" t="n"/>
    </row>
  </sheetData>
  <mergeCells count="6">
    <mergeCell ref="A4:E4"/>
    <mergeCell ref="A2:E2"/>
    <mergeCell ref="A52:E52"/>
    <mergeCell ref="A51:E51"/>
    <mergeCell ref="A1:E1"/>
    <mergeCell ref="A3:E3"/>
  </mergeCells>
  <pageMargins left="0.7" right="0.7" top="0.75" bottom="0.75" header="0.3" footer="0.3"/>
  <pageSetup orientation="portrait" paperSize="9" scale="8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WinuE</dc:creator>
  <dcterms:created xsi:type="dcterms:W3CDTF">2015-06-30T14:24:18Z</dcterms:created>
  <dcterms:modified xsi:type="dcterms:W3CDTF">2026-10-13T18:00:05Z</dcterms:modified>
  <cp:lastModifiedBy>KAREN ARUMIL LIMA URANGA</cp:lastModifiedBy>
  <cp:lastPrinted>2025-06-12T15:23:40Z</cp:lastPrinted>
</cp:coreProperties>
</file>